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droavendano/Downloads/"/>
    </mc:Choice>
  </mc:AlternateContent>
  <xr:revisionPtr revIDLastSave="0" documentId="13_ncr:1_{FA75CDF6-7A66-3C4E-82B5-BA293D8384D3}" xr6:coauthVersionLast="47" xr6:coauthVersionMax="47" xr10:uidLastSave="{00000000-0000-0000-0000-000000000000}"/>
  <bookViews>
    <workbookView xWindow="0" yWindow="480" windowWidth="28800" windowHeight="17520" xr2:uid="{51658058-8315-A640-B733-1DFC39D6EEC8}"/>
  </bookViews>
  <sheets>
    <sheet name="Project schedule" sheetId="1" r:id="rId1"/>
  </sheets>
  <definedNames>
    <definedName name="Display_Week" comment="Week number to display">"'Project schedule'!$Q$2"</definedName>
    <definedName name="Project_Start" comment="Project start date">"'Project schedule'!$Q$1"</definedName>
    <definedName name="task_end" comment="Task end dates">"'Project schedule'!$F$1:$F$100"</definedName>
    <definedName name="task_start" comment="Task start dates">"'Project schedule'!$E$1:$E$100"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H25" i="1"/>
  <c r="H24" i="1"/>
  <c r="H23" i="1"/>
  <c r="H22" i="1"/>
  <c r="H21" i="1"/>
  <c r="I5" i="1"/>
  <c r="I6" i="1" s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J5" i="1" l="1"/>
  <c r="J6" i="1" s="1"/>
  <c r="I4" i="1"/>
  <c r="K5" i="1" l="1"/>
  <c r="K6" i="1" s="1"/>
  <c r="L5" i="1"/>
  <c r="L6" i="1" l="1"/>
  <c r="M5" i="1"/>
  <c r="M6" i="1" l="1"/>
  <c r="N5" i="1"/>
  <c r="N6" i="1" l="1"/>
  <c r="O5" i="1"/>
  <c r="O6" i="1" l="1"/>
  <c r="P5" i="1"/>
  <c r="P6" i="1" l="1"/>
  <c r="Q5" i="1"/>
  <c r="Q6" i="1" l="1"/>
  <c r="R5" i="1"/>
  <c r="P4" i="1"/>
  <c r="R6" i="1" l="1"/>
  <c r="S5" i="1"/>
  <c r="S6" i="1" l="1"/>
  <c r="T5" i="1"/>
  <c r="U5" i="1" l="1"/>
  <c r="T6" i="1"/>
  <c r="U6" i="1" l="1"/>
  <c r="V5" i="1"/>
  <c r="V6" i="1" l="1"/>
  <c r="W5" i="1"/>
  <c r="W6" i="1" l="1"/>
  <c r="X5" i="1"/>
  <c r="Y5" i="1" l="1"/>
  <c r="X6" i="1"/>
  <c r="W4" i="1"/>
  <c r="Y6" i="1" l="1"/>
  <c r="Z5" i="1"/>
  <c r="Z6" i="1" l="1"/>
  <c r="AA5" i="1"/>
  <c r="AA6" i="1" l="1"/>
  <c r="AB5" i="1"/>
  <c r="AB6" i="1" l="1"/>
  <c r="AC5" i="1"/>
  <c r="AC6" i="1" l="1"/>
  <c r="AD5" i="1"/>
  <c r="AD6" i="1" l="1"/>
  <c r="AE5" i="1"/>
  <c r="AE6" i="1" l="1"/>
  <c r="AF5" i="1"/>
  <c r="AD4" i="1"/>
  <c r="AG5" i="1" l="1"/>
  <c r="AF6" i="1"/>
  <c r="AG6" i="1" l="1"/>
  <c r="AH5" i="1"/>
  <c r="AH6" i="1" l="1"/>
  <c r="AI5" i="1"/>
  <c r="AI6" i="1" l="1"/>
  <c r="AJ5" i="1"/>
  <c r="AK5" i="1" l="1"/>
  <c r="AJ6" i="1"/>
  <c r="AK6" i="1" l="1"/>
  <c r="AL5" i="1"/>
  <c r="AL6" i="1" l="1"/>
  <c r="AM5" i="1"/>
  <c r="AK4" i="1"/>
  <c r="AM6" i="1" l="1"/>
  <c r="AN5" i="1"/>
  <c r="AN6" i="1" l="1"/>
  <c r="AO5" i="1"/>
  <c r="AO6" i="1" l="1"/>
  <c r="AP5" i="1"/>
  <c r="AP6" i="1" l="1"/>
  <c r="AQ5" i="1"/>
  <c r="AQ6" i="1" l="1"/>
  <c r="AR5" i="1"/>
  <c r="AS5" i="1" l="1"/>
  <c r="AR6" i="1"/>
  <c r="AS6" i="1" l="1"/>
  <c r="AT5" i="1"/>
  <c r="AR4" i="1"/>
  <c r="AT6" i="1" l="1"/>
  <c r="AU5" i="1"/>
  <c r="AV5" i="1" l="1"/>
  <c r="AU6" i="1"/>
  <c r="AW5" i="1" l="1"/>
  <c r="AV6" i="1"/>
  <c r="AW6" i="1" l="1"/>
  <c r="AX5" i="1"/>
  <c r="AX6" i="1" l="1"/>
  <c r="AY5" i="1"/>
  <c r="AY6" i="1" l="1"/>
  <c r="AZ5" i="1"/>
  <c r="AY4" i="1"/>
  <c r="AZ6" i="1" l="1"/>
  <c r="BA5" i="1"/>
  <c r="BA6" i="1" l="1"/>
  <c r="BB5" i="1"/>
  <c r="BB6" i="1" l="1"/>
  <c r="BC5" i="1"/>
  <c r="BD5" i="1" l="1"/>
  <c r="BC6" i="1"/>
  <c r="BE5" i="1" l="1"/>
  <c r="BD6" i="1"/>
  <c r="BE6" i="1" l="1"/>
  <c r="BF5" i="1"/>
  <c r="BF6" i="1" l="1"/>
  <c r="BG5" i="1"/>
  <c r="BF4" i="1"/>
  <c r="BG6" i="1" l="1"/>
  <c r="BH5" i="1"/>
  <c r="BH6" i="1" l="1"/>
  <c r="BI5" i="1"/>
  <c r="BI6" i="1" l="1"/>
  <c r="BJ5" i="1"/>
  <c r="BJ6" i="1" l="1"/>
  <c r="BK5" i="1"/>
  <c r="BL5" i="1" l="1"/>
  <c r="BL6" i="1" s="1"/>
  <c r="BK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D40" authorId="0" shapeId="0" xr:uid="{37E4C4E8-4DB3-6B4C-8378-F42A0905F2B6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[Auditoría 2026-02-06] Tarjeta SD reconocida. Pendiente adaptar sistema de lectura (disk_initialize requiere ajuste, no es fallo crítico).</t>
        </r>
      </text>
    </comment>
    <comment ref="D41" authorId="0" shapeId="0" xr:uid="{FAF84B03-ABFD-C140-B03C-08BD197DAD6F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[Auditoría 2026-02-06] HAT Sixfab recibido. Interfaz UART a 3.3V nativa, Level Shifter innecesario.</t>
        </r>
      </text>
    </comment>
    <comment ref="B44" authorId="0" shapeId="0" xr:uid="{CFB527C4-4201-8A49-8C98-84673C7AE22B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BLOQUEADO: Incompatibilidad de niveles de voltaje (3.3V vs 1.8V)</t>
        </r>
      </text>
    </comment>
    <comment ref="G44" authorId="0" shapeId="0" xr:uid="{47B0EA16-20F1-9640-9381-D859A11D7079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[Auditoría 2026-02-06] Desbloqueado: HAT Sixfab recibido, UART nativa a 3.3V. No requiere Level Shifter.</t>
        </r>
      </text>
    </comment>
  </commentList>
</comments>
</file>

<file path=xl/sharedStrings.xml><?xml version="1.0" encoding="utf-8"?>
<sst xmlns="http://schemas.openxmlformats.org/spreadsheetml/2006/main" count="92" uniqueCount="49">
  <si>
    <t>Carta Gantt</t>
  </si>
  <si>
    <t>Project start:</t>
  </si>
  <si>
    <t>LIND, Ltd.</t>
  </si>
  <si>
    <t>Avance diario / semanal</t>
  </si>
  <si>
    <t>Display week:</t>
  </si>
  <si>
    <t>Antonio Avendaño Sanhueza</t>
  </si>
  <si>
    <t>TASK</t>
  </si>
  <si>
    <t>ASSIGNED TO</t>
  </si>
  <si>
    <t>PROGRESS</t>
  </si>
  <si>
    <t>START</t>
  </si>
  <si>
    <t>END</t>
  </si>
  <si>
    <t xml:space="preserve">Do not delete this row. This row is hidden to preserve a formula that is used to highlight the current day within the project schedule. </t>
  </si>
  <si>
    <t>Fase 1: Logística y Hardware</t>
  </si>
  <si>
    <t>Antonio Avendaño</t>
  </si>
  <si>
    <t>Fase 2: Firmware y Porting</t>
  </si>
  <si>
    <t>Implementación DMA y Ring Buffers (Zero-Wait)</t>
  </si>
  <si>
    <t>Fase 3: Conectividad y Energía</t>
  </si>
  <si>
    <t>Desarrollo Máquina Estados UART (Comandos AT)</t>
  </si>
  <si>
    <t>Integración Stack LTE y Transmisión de Datos</t>
  </si>
  <si>
    <t>Configuración Sleep Modes (RTC Wakeup)</t>
  </si>
  <si>
    <t>Validación Final de Consumo Energético</t>
  </si>
  <si>
    <t>Gestión de Compra Sixfab y Mouser (Caja Chica)</t>
  </si>
  <si>
    <t>Pruebas de Encendido y Voltajes con RPi5 (Completado)</t>
  </si>
  <si>
    <t>Recepción y Montaje Físico (Esperando componentes)</t>
  </si>
  <si>
    <t>Desarrollo Filtro 'Level to Zero' (FPU DSP) [TENTATIVO]</t>
  </si>
  <si>
    <t>Hitos y Entregas</t>
  </si>
  <si>
    <t>Presentación 01</t>
  </si>
  <si>
    <t>Sprint 01</t>
  </si>
  <si>
    <t>Presentación 02</t>
  </si>
  <si>
    <t>Sprint 02</t>
  </si>
  <si>
    <t>Evento Cierre</t>
  </si>
  <si>
    <t>13 ene</t>
  </si>
  <si>
    <t>20 ene</t>
  </si>
  <si>
    <t>Avances Futuros</t>
  </si>
  <si>
    <t>27-28 ene</t>
  </si>
  <si>
    <t>26-31 ene</t>
  </si>
  <si>
    <t>2-6 feb</t>
  </si>
  <si>
    <t>7-10 feb</t>
  </si>
  <si>
    <t>11-14 feb</t>
  </si>
  <si>
    <t>Recepción y Montaje Físico (Completado)</t>
  </si>
  <si>
    <t>9-13 feb</t>
  </si>
  <si>
    <t>Implementación Almacenamiento Local (SDIO/MicroSD)</t>
  </si>
  <si>
    <t>28 ene-4 feb</t>
  </si>
  <si>
    <t>30 ene-2 feb</t>
  </si>
  <si>
    <t>Análisis de Competencia y Costos</t>
  </si>
  <si>
    <t>ESTADO</t>
  </si>
  <si>
    <t>Versión Sprint 3 - Avances al 31 de enero 2025</t>
  </si>
  <si>
    <t>Porting Algoritmo 'Dos Golpes' (Python a C)</t>
  </si>
  <si>
    <t>Integración HAT Sixfab (UART 3.3V nativo)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</si>
</sst>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/dd"/>
    <numFmt numFmtId="165" formatCode="d\ mmm"/>
    <numFmt numFmtId="166" formatCode="d"/>
  </numFmts>
  <fonts count="18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theme="1"/>
      <name val="Arial"/>
      <family val="2"/>
    </font>
    <font>
      <b/>
      <sz val="28"/>
      <color rgb="FF1F4E79"/>
      <name val="Calibri"/>
      <family val="2"/>
    </font>
    <font>
      <b/>
      <sz val="14"/>
      <color rgb="FF2E75B6"/>
      <name val="Arial"/>
      <family val="2"/>
    </font>
    <font>
      <b/>
      <sz val="11"/>
      <color rgb="FF595959"/>
      <name val="Arial"/>
      <family val="2"/>
    </font>
    <font>
      <b/>
      <sz val="11"/>
      <color rgb="FF404040"/>
      <name val="Arial"/>
      <family val="2"/>
    </font>
    <font>
      <b/>
      <sz val="10"/>
      <color rgb="FF00B050"/>
      <name val="Arial"/>
      <family val="2"/>
    </font>
    <font>
      <b/>
      <sz val="10"/>
      <color rgb="FF2F5496"/>
      <name val="Arial"/>
      <family val="2"/>
    </font>
    <font>
      <sz val="10"/>
      <color rgb="FF000000"/>
      <name val="Arial"/>
      <family val="2"/>
    </font>
    <font>
      <b/>
      <sz val="16"/>
      <color rgb="FF1F4E79"/>
      <name val="Calibri"/>
      <family val="2"/>
    </font>
    <font>
      <b/>
      <sz val="16"/>
      <color rgb="FF1F4E79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</fills>
  <borders count="50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medium">
        <color rgb="FF548235"/>
      </top>
      <bottom style="medium">
        <color rgb="FF548235"/>
      </bottom>
      <diagonal/>
    </border>
    <border>
      <left style="medium">
        <color rgb="FF548235"/>
      </left>
      <right style="thin">
        <color rgb="FFD9D9D9"/>
      </right>
      <top style="medium">
        <color rgb="FF548235"/>
      </top>
      <bottom style="medium">
        <color rgb="FF548235"/>
      </bottom>
      <diagonal/>
    </border>
    <border>
      <left style="thin">
        <color rgb="FFD9D9D9"/>
      </left>
      <right style="medium">
        <color rgb="FF548235"/>
      </right>
      <top style="medium">
        <color rgb="FF548235"/>
      </top>
      <bottom style="medium">
        <color rgb="FF548235"/>
      </bottom>
      <diagonal/>
    </border>
    <border>
      <left style="thin">
        <color rgb="FFD9D9D9"/>
      </left>
      <right style="thin">
        <color rgb="FFD9D9D9"/>
      </right>
      <top style="medium">
        <color rgb="FF1F4E79"/>
      </top>
      <bottom style="medium">
        <color rgb="FF1F4E79"/>
      </bottom>
      <diagonal/>
    </border>
    <border>
      <left style="thin">
        <color rgb="FFD9D9D9"/>
      </left>
      <right style="thin">
        <color rgb="FFD9D9D9"/>
      </right>
      <top style="medium">
        <color rgb="FF008040"/>
      </top>
      <bottom style="medium">
        <color rgb="FF008040"/>
      </bottom>
      <diagonal/>
    </border>
    <border>
      <left style="medium">
        <color rgb="FF008040"/>
      </left>
      <right style="thin">
        <color rgb="FFD9D9D9"/>
      </right>
      <top style="medium">
        <color rgb="FF008040"/>
      </top>
      <bottom style="medium">
        <color rgb="FF008040"/>
      </bottom>
      <diagonal/>
    </border>
    <border>
      <left style="thin">
        <color rgb="FFD9D9D9"/>
      </left>
      <right style="medium">
        <color rgb="FF008040"/>
      </right>
      <top style="medium">
        <color rgb="FF008040"/>
      </top>
      <bottom style="medium">
        <color rgb="FF008040"/>
      </bottom>
      <diagonal/>
    </border>
    <border>
      <left style="thin">
        <color rgb="FFD9D9D9"/>
      </left>
      <right style="thin">
        <color rgb="FFD9D9D9"/>
      </right>
      <top style="medium">
        <color rgb="FFBF9000"/>
      </top>
      <bottom style="medium">
        <color rgb="FFBF9000"/>
      </bottom>
      <diagonal/>
    </border>
    <border>
      <left style="medium">
        <color rgb="FFBF9000"/>
      </left>
      <right style="thin">
        <color rgb="FFD9D9D9"/>
      </right>
      <top style="medium">
        <color rgb="FFBF9000"/>
      </top>
      <bottom style="medium">
        <color rgb="FFBF9000"/>
      </bottom>
      <diagonal/>
    </border>
    <border>
      <left style="thin">
        <color rgb="FFD9D9D9"/>
      </left>
      <right style="medium">
        <color rgb="FFBF9000"/>
      </right>
      <top style="medium">
        <color rgb="FFBF9000"/>
      </top>
      <bottom style="medium">
        <color rgb="FFBF9000"/>
      </bottom>
      <diagonal/>
    </border>
    <border>
      <left style="medium">
        <color rgb="FF548235"/>
      </left>
      <right style="thin">
        <color rgb="FFD9D9D9"/>
      </right>
      <top/>
      <bottom/>
      <diagonal/>
    </border>
    <border>
      <left style="thin">
        <color rgb="FFD9D9D9"/>
      </left>
      <right style="medium">
        <color rgb="FF548235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4E79"/>
      </bottom>
      <diagonal/>
    </border>
    <border>
      <left/>
      <right style="thin">
        <color rgb="FFD9D9D9"/>
      </right>
      <top style="thin">
        <color rgb="FFD9D9D9"/>
      </top>
      <bottom style="medium">
        <color rgb="FF1F4E7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9"/>
      </bottom>
      <diagonal/>
    </border>
    <border>
      <left style="thin">
        <color rgb="FFBFBFBF"/>
      </left>
      <right style="thin">
        <color rgb="FFBFBFBF"/>
      </right>
      <top style="medium">
        <color rgb="FF1F4E79"/>
      </top>
      <bottom style="medium">
        <color rgb="FF1F4E79"/>
      </bottom>
      <diagonal/>
    </border>
    <border>
      <left/>
      <right style="thin">
        <color rgb="FFD9D9D9"/>
      </right>
      <top style="medium">
        <color rgb="FF1F4E79"/>
      </top>
      <bottom style="medium">
        <color rgb="FF1F4E79"/>
      </bottom>
      <diagonal/>
    </border>
    <border>
      <left style="medium">
        <color rgb="FF2E75B6"/>
      </left>
      <right style="thin">
        <color rgb="FFD9D9D9"/>
      </right>
      <top style="medium">
        <color rgb="FF2E75B6"/>
      </top>
      <bottom/>
      <diagonal/>
    </border>
    <border>
      <left style="thin">
        <color rgb="FFD9D9D9"/>
      </left>
      <right style="medium">
        <color rgb="FF2E75B6"/>
      </right>
      <top style="medium">
        <color rgb="FF2E75B6"/>
      </top>
      <bottom/>
      <diagonal/>
    </border>
    <border>
      <left style="medium">
        <color rgb="FF548235"/>
      </left>
      <right style="thin">
        <color rgb="FFD9D9D9"/>
      </right>
      <top/>
      <bottom style="medium">
        <color rgb="FF548235"/>
      </bottom>
      <diagonal/>
    </border>
    <border>
      <left style="thin">
        <color rgb="FFD9D9D9"/>
      </left>
      <right style="thin">
        <color rgb="FFD9D9D9"/>
      </right>
      <top/>
      <bottom style="medium">
        <color rgb="FF548235"/>
      </bottom>
      <diagonal/>
    </border>
    <border>
      <left style="thin">
        <color rgb="FFD9D9D9"/>
      </left>
      <right style="medium">
        <color rgb="FF548235"/>
      </right>
      <top/>
      <bottom style="medium">
        <color rgb="FF548235"/>
      </bottom>
      <diagonal/>
    </border>
    <border>
      <left style="thin">
        <color rgb="FFBFBFBF"/>
      </left>
      <right style="thin">
        <color rgb="FFBFBFBF"/>
      </right>
      <top style="medium">
        <color rgb="FF385723"/>
      </top>
      <bottom style="medium">
        <color rgb="FF385723"/>
      </bottom>
      <diagonal/>
    </border>
    <border>
      <left/>
      <right style="thin">
        <color rgb="FFD9D9D9"/>
      </right>
      <top style="medium">
        <color rgb="FF385723"/>
      </top>
      <bottom style="medium">
        <color rgb="FF385723"/>
      </bottom>
      <diagonal/>
    </border>
    <border>
      <left style="thin">
        <color rgb="FFD9D9D9"/>
      </left>
      <right style="thin">
        <color rgb="FFD9D9D9"/>
      </right>
      <top style="medium">
        <color rgb="FF385723"/>
      </top>
      <bottom style="medium">
        <color rgb="FF385723"/>
      </bottom>
      <diagonal/>
    </border>
    <border>
      <left style="medium">
        <color rgb="FFC65911"/>
      </left>
      <right style="thin">
        <color rgb="FFD9D9D9"/>
      </right>
      <top style="medium">
        <color rgb="FFC65911"/>
      </top>
      <bottom/>
      <diagonal/>
    </border>
    <border>
      <left style="thin">
        <color rgb="FFD9D9D9"/>
      </left>
      <right style="thin">
        <color rgb="FFD9D9D9"/>
      </right>
      <top style="medium">
        <color rgb="FFC65911"/>
      </top>
      <bottom/>
      <diagonal/>
    </border>
    <border>
      <left style="thin">
        <color rgb="FFD9D9D9"/>
      </left>
      <right style="medium">
        <color rgb="FFC65911"/>
      </right>
      <top style="medium">
        <color rgb="FFC65911"/>
      </top>
      <bottom/>
      <diagonal/>
    </border>
    <border>
      <left style="medium">
        <color rgb="FF1F4E79"/>
      </left>
      <right style="thin">
        <color rgb="FFD9D9D9"/>
      </right>
      <top/>
      <bottom/>
      <diagonal/>
    </border>
    <border>
      <left style="thin">
        <color rgb="FFD9D9D9"/>
      </left>
      <right style="medium">
        <color rgb="FF1F4E79"/>
      </right>
      <top/>
      <bottom style="medium">
        <color rgb="FF1F4E79"/>
      </bottom>
      <diagonal/>
    </border>
    <border>
      <left style="thin">
        <color rgb="FFBFBFBF"/>
      </left>
      <right style="thin">
        <color rgb="FFBFBFBF"/>
      </right>
      <top style="medium">
        <color rgb="FF7F6000"/>
      </top>
      <bottom style="medium">
        <color rgb="FF7F6000"/>
      </bottom>
      <diagonal/>
    </border>
    <border>
      <left/>
      <right style="thin">
        <color rgb="FFD9D9D9"/>
      </right>
      <top style="medium">
        <color rgb="FF7F6000"/>
      </top>
      <bottom style="medium">
        <color rgb="FF7F6000"/>
      </bottom>
      <diagonal/>
    </border>
    <border>
      <left style="thin">
        <color rgb="FFD9D9D9"/>
      </left>
      <right style="thin">
        <color rgb="FFD9D9D9"/>
      </right>
      <top style="medium">
        <color rgb="FF7F6000"/>
      </top>
      <bottom style="medium">
        <color rgb="FF7F6000"/>
      </bottom>
      <diagonal/>
    </border>
  </borders>
  <cellStyleXfs count="1">
    <xf numFmtId="0" fontId="0" fillId="0" borderId="0"/>
  </cellStyleXfs>
  <cellXfs count="123">
    <xf numFmtId="0" fontId="0" fillId="0" borderId="0" xfId="0"/>
    <xf numFmtId="164" fontId="0" fillId="0" borderId="0" xfId="0" applyNumberFormat="1"/>
    <xf numFmtId="0" fontId="1" fillId="0" borderId="0" xfId="0" applyFont="1"/>
    <xf numFmtId="9" fontId="1" fillId="0" borderId="0" xfId="0" applyNumberFormat="1" applyFont="1"/>
    <xf numFmtId="164" fontId="1" fillId="0" borderId="0" xfId="0" applyNumberFormat="1" applyFont="1"/>
    <xf numFmtId="0" fontId="3" fillId="3" borderId="0" xfId="0" applyFont="1" applyFill="1"/>
    <xf numFmtId="0" fontId="4" fillId="6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0" borderId="7" xfId="0" applyBorder="1"/>
    <xf numFmtId="165" fontId="5" fillId="7" borderId="9" xfId="0" applyNumberFormat="1" applyFont="1" applyFill="1" applyBorder="1" applyAlignment="1">
      <alignment horizontal="center"/>
    </xf>
    <xf numFmtId="0" fontId="0" fillId="0" borderId="10" xfId="0" applyBorder="1"/>
    <xf numFmtId="166" fontId="2" fillId="8" borderId="5" xfId="0" applyNumberFormat="1" applyFont="1" applyFill="1" applyBorder="1" applyAlignment="1">
      <alignment horizontal="center"/>
    </xf>
    <xf numFmtId="166" fontId="2" fillId="8" borderId="12" xfId="0" applyNumberFormat="1" applyFont="1" applyFill="1" applyBorder="1" applyAlignment="1">
      <alignment horizontal="center"/>
    </xf>
    <xf numFmtId="0" fontId="0" fillId="0" borderId="15" xfId="0" applyBorder="1"/>
    <xf numFmtId="0" fontId="1" fillId="12" borderId="15" xfId="0" applyFont="1" applyFill="1" applyBorder="1"/>
    <xf numFmtId="0" fontId="1" fillId="12" borderId="16" xfId="0" applyFont="1" applyFill="1" applyBorder="1"/>
    <xf numFmtId="164" fontId="1" fillId="12" borderId="16" xfId="0" applyNumberFormat="1" applyFont="1" applyFill="1" applyBorder="1"/>
    <xf numFmtId="0" fontId="4" fillId="6" borderId="13" xfId="0" applyFont="1" applyFill="1" applyBorder="1"/>
    <xf numFmtId="0" fontId="0" fillId="0" borderId="13" xfId="0" applyBorder="1"/>
    <xf numFmtId="0" fontId="1" fillId="13" borderId="13" xfId="0" applyFont="1" applyFill="1" applyBorder="1"/>
    <xf numFmtId="9" fontId="10" fillId="13" borderId="13" xfId="0" applyNumberFormat="1" applyFont="1" applyFill="1" applyBorder="1" applyAlignment="1">
      <alignment horizontal="center"/>
    </xf>
    <xf numFmtId="164" fontId="1" fillId="13" borderId="13" xfId="0" applyNumberFormat="1" applyFont="1" applyFill="1" applyBorder="1"/>
    <xf numFmtId="0" fontId="1" fillId="11" borderId="13" xfId="0" applyFont="1" applyFill="1" applyBorder="1"/>
    <xf numFmtId="9" fontId="1" fillId="11" borderId="13" xfId="0" applyNumberFormat="1" applyFont="1" applyFill="1" applyBorder="1" applyAlignment="1">
      <alignment horizontal="center"/>
    </xf>
    <xf numFmtId="164" fontId="1" fillId="11" borderId="13" xfId="0" applyNumberFormat="1" applyFont="1" applyFill="1" applyBorder="1"/>
    <xf numFmtId="0" fontId="1" fillId="12" borderId="13" xfId="0" applyFont="1" applyFill="1" applyBorder="1"/>
    <xf numFmtId="164" fontId="1" fillId="12" borderId="13" xfId="0" applyNumberFormat="1" applyFont="1" applyFill="1" applyBorder="1"/>
    <xf numFmtId="9" fontId="10" fillId="12" borderId="13" xfId="0" applyNumberFormat="1" applyFont="1" applyFill="1" applyBorder="1" applyAlignment="1">
      <alignment horizontal="center"/>
    </xf>
    <xf numFmtId="9" fontId="1" fillId="12" borderId="13" xfId="0" applyNumberFormat="1" applyFont="1" applyFill="1" applyBorder="1" applyAlignment="1">
      <alignment horizontal="center"/>
    </xf>
    <xf numFmtId="0" fontId="1" fillId="13" borderId="16" xfId="0" applyFont="1" applyFill="1" applyBorder="1"/>
    <xf numFmtId="9" fontId="10" fillId="13" borderId="16" xfId="0" applyNumberFormat="1" applyFont="1" applyFill="1" applyBorder="1" applyAlignment="1">
      <alignment horizontal="center"/>
    </xf>
    <xf numFmtId="164" fontId="1" fillId="13" borderId="16" xfId="0" applyNumberFormat="1" applyFont="1" applyFill="1" applyBorder="1"/>
    <xf numFmtId="0" fontId="3" fillId="3" borderId="32" xfId="0" applyFont="1" applyFill="1" applyBorder="1"/>
    <xf numFmtId="0" fontId="3" fillId="3" borderId="33" xfId="0" applyFont="1" applyFill="1" applyBorder="1"/>
    <xf numFmtId="0" fontId="3" fillId="3" borderId="20" xfId="0" applyFont="1" applyFill="1" applyBorder="1"/>
    <xf numFmtId="0" fontId="1" fillId="10" borderId="14" xfId="0" applyFont="1" applyFill="1" applyBorder="1"/>
    <xf numFmtId="9" fontId="1" fillId="10" borderId="14" xfId="0" applyNumberFormat="1" applyFont="1" applyFill="1" applyBorder="1" applyAlignment="1">
      <alignment horizontal="center"/>
    </xf>
    <xf numFmtId="164" fontId="1" fillId="10" borderId="14" xfId="0" applyNumberFormat="1" applyFont="1" applyFill="1" applyBorder="1"/>
    <xf numFmtId="0" fontId="1" fillId="11" borderId="16" xfId="0" applyFont="1" applyFill="1" applyBorder="1"/>
    <xf numFmtId="9" fontId="1" fillId="11" borderId="16" xfId="0" applyNumberFormat="1" applyFont="1" applyFill="1" applyBorder="1" applyAlignment="1">
      <alignment horizontal="center"/>
    </xf>
    <xf numFmtId="164" fontId="1" fillId="11" borderId="16" xfId="0" applyNumberFormat="1" applyFont="1" applyFill="1" applyBorder="1"/>
    <xf numFmtId="0" fontId="3" fillId="4" borderId="39" xfId="0" applyFont="1" applyFill="1" applyBorder="1"/>
    <xf numFmtId="9" fontId="3" fillId="4" borderId="39" xfId="0" applyNumberFormat="1" applyFont="1" applyFill="1" applyBorder="1" applyAlignment="1">
      <alignment horizontal="center"/>
    </xf>
    <xf numFmtId="164" fontId="3" fillId="4" borderId="39" xfId="0" applyNumberFormat="1" applyFont="1" applyFill="1" applyBorder="1"/>
    <xf numFmtId="0" fontId="0" fillId="0" borderId="40" xfId="0" applyBorder="1"/>
    <xf numFmtId="0" fontId="0" fillId="0" borderId="41" xfId="0" applyBorder="1"/>
    <xf numFmtId="0" fontId="1" fillId="14" borderId="14" xfId="0" applyFont="1" applyFill="1" applyBorder="1"/>
    <xf numFmtId="9" fontId="1" fillId="14" borderId="14" xfId="0" applyNumberFormat="1" applyFont="1" applyFill="1" applyBorder="1" applyAlignment="1">
      <alignment horizontal="center"/>
    </xf>
    <xf numFmtId="164" fontId="1" fillId="14" borderId="14" xfId="0" applyNumberFormat="1" applyFont="1" applyFill="1" applyBorder="1"/>
    <xf numFmtId="9" fontId="11" fillId="12" borderId="16" xfId="0" applyNumberFormat="1" applyFont="1" applyFill="1" applyBorder="1" applyAlignment="1">
      <alignment horizontal="center"/>
    </xf>
    <xf numFmtId="0" fontId="3" fillId="5" borderId="47" xfId="0" applyFont="1" applyFill="1" applyBorder="1"/>
    <xf numFmtId="9" fontId="3" fillId="5" borderId="47" xfId="0" applyNumberFormat="1" applyFont="1" applyFill="1" applyBorder="1" applyAlignment="1">
      <alignment horizontal="center"/>
    </xf>
    <xf numFmtId="164" fontId="3" fillId="5" borderId="47" xfId="0" applyNumberFormat="1" applyFont="1" applyFill="1" applyBorder="1"/>
    <xf numFmtId="0" fontId="0" fillId="0" borderId="48" xfId="0" applyBorder="1"/>
    <xf numFmtId="0" fontId="0" fillId="0" borderId="49" xfId="0" applyBorder="1"/>
    <xf numFmtId="0" fontId="0" fillId="0" borderId="29" xfId="0" applyBorder="1"/>
    <xf numFmtId="0" fontId="2" fillId="9" borderId="30" xfId="0" applyFont="1" applyFill="1" applyBorder="1" applyAlignment="1">
      <alignment horizontal="center"/>
    </xf>
    <xf numFmtId="0" fontId="2" fillId="9" borderId="31" xfId="0" applyFont="1" applyFill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15" borderId="27" xfId="0" applyFont="1" applyFill="1" applyBorder="1" applyAlignment="1">
      <alignment horizontal="center"/>
    </xf>
    <xf numFmtId="0" fontId="12" fillId="15" borderId="10" xfId="0" applyFont="1" applyFill="1" applyBorder="1" applyAlignment="1">
      <alignment horizontal="center"/>
    </xf>
    <xf numFmtId="0" fontId="12" fillId="15" borderId="28" xfId="0" applyFont="1" applyFill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15" borderId="18" xfId="0" applyFont="1" applyFill="1" applyBorder="1" applyAlignment="1">
      <alignment horizontal="center"/>
    </xf>
    <xf numFmtId="0" fontId="12" fillId="15" borderId="17" xfId="0" applyFont="1" applyFill="1" applyBorder="1" applyAlignment="1">
      <alignment horizontal="center"/>
    </xf>
    <xf numFmtId="0" fontId="12" fillId="15" borderId="19" xfId="0" applyFont="1" applyFill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16" borderId="34" xfId="0" applyFont="1" applyFill="1" applyBorder="1" applyAlignment="1">
      <alignment horizontal="center"/>
    </xf>
    <xf numFmtId="0" fontId="12" fillId="16" borderId="35" xfId="0" applyFont="1" applyFill="1" applyBorder="1" applyAlignment="1">
      <alignment horizontal="center"/>
    </xf>
    <xf numFmtId="0" fontId="12" fillId="15" borderId="36" xfId="0" applyFont="1" applyFill="1" applyBorder="1" applyAlignment="1">
      <alignment horizontal="center"/>
    </xf>
    <xf numFmtId="0" fontId="12" fillId="15" borderId="37" xfId="0" applyFont="1" applyFill="1" applyBorder="1" applyAlignment="1">
      <alignment horizontal="center"/>
    </xf>
    <xf numFmtId="0" fontId="12" fillId="15" borderId="38" xfId="0" applyFont="1" applyFill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17" borderId="42" xfId="0" applyFont="1" applyFill="1" applyBorder="1" applyAlignment="1">
      <alignment horizontal="center"/>
    </xf>
    <xf numFmtId="0" fontId="12" fillId="17" borderId="43" xfId="0" applyFont="1" applyFill="1" applyBorder="1" applyAlignment="1">
      <alignment horizontal="center"/>
    </xf>
    <xf numFmtId="0" fontId="12" fillId="17" borderId="44" xfId="0" applyFont="1" applyFill="1" applyBorder="1" applyAlignment="1">
      <alignment horizontal="center"/>
    </xf>
    <xf numFmtId="0" fontId="12" fillId="18" borderId="45" xfId="0" applyFont="1" applyFill="1" applyBorder="1" applyAlignment="1">
      <alignment horizontal="center"/>
    </xf>
    <xf numFmtId="0" fontId="12" fillId="18" borderId="10" xfId="0" applyFont="1" applyFill="1" applyBorder="1" applyAlignment="1">
      <alignment horizontal="center"/>
    </xf>
    <xf numFmtId="0" fontId="12" fillId="18" borderId="46" xfId="0" applyFont="1" applyFill="1" applyBorder="1" applyAlignment="1">
      <alignment horizontal="center"/>
    </xf>
    <xf numFmtId="0" fontId="12" fillId="19" borderId="22" xfId="0" applyFont="1" applyFill="1" applyBorder="1" applyAlignment="1">
      <alignment horizontal="center"/>
    </xf>
    <xf numFmtId="0" fontId="12" fillId="19" borderId="21" xfId="0" applyFont="1" applyFill="1" applyBorder="1" applyAlignment="1">
      <alignment horizontal="center"/>
    </xf>
    <xf numFmtId="0" fontId="12" fillId="19" borderId="23" xfId="0" applyFont="1" applyFill="1" applyBorder="1" applyAlignment="1">
      <alignment horizontal="center"/>
    </xf>
    <xf numFmtId="0" fontId="12" fillId="20" borderId="25" xfId="0" applyFont="1" applyFill="1" applyBorder="1" applyAlignment="1">
      <alignment horizontal="center"/>
    </xf>
    <xf numFmtId="0" fontId="12" fillId="20" borderId="24" xfId="0" applyFont="1" applyFill="1" applyBorder="1" applyAlignment="1">
      <alignment horizontal="center"/>
    </xf>
    <xf numFmtId="0" fontId="12" fillId="20" borderId="26" xfId="0" applyFont="1" applyFill="1" applyBorder="1" applyAlignment="1">
      <alignment horizontal="center"/>
    </xf>
    <xf numFmtId="166" fontId="2" fillId="2" borderId="5" xfId="0" applyNumberFormat="1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0" fontId="1" fillId="16" borderId="0" xfId="0" applyFont="1" applyFill="1" applyAlignment="1">
      <alignment horizontal="center"/>
    </xf>
    <xf numFmtId="0" fontId="1" fillId="15" borderId="0" xfId="0" applyFont="1" applyFill="1" applyAlignment="1">
      <alignment horizontal="center"/>
    </xf>
    <xf numFmtId="0" fontId="1" fillId="21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14" fillId="0" borderId="0" xfId="0" applyFont="1"/>
    <xf numFmtId="0" fontId="5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5" fillId="20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" fillId="18" borderId="0" xfId="0" applyFont="1" applyFill="1" applyAlignment="1">
      <alignment horizontal="center"/>
    </xf>
    <xf numFmtId="0" fontId="1" fillId="19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16" fontId="2" fillId="12" borderId="0" xfId="0" applyNumberFormat="1" applyFont="1" applyFill="1" applyAlignment="1">
      <alignment horizontal="center"/>
    </xf>
    <xf numFmtId="0" fontId="1" fillId="13" borderId="0" xfId="0" applyFont="1" applyFill="1"/>
    <xf numFmtId="9" fontId="1" fillId="13" borderId="0" xfId="0" applyNumberFormat="1" applyFont="1" applyFill="1"/>
    <xf numFmtId="164" fontId="1" fillId="13" borderId="0" xfId="0" applyNumberFormat="1" applyFont="1" applyFill="1"/>
    <xf numFmtId="0" fontId="0" fillId="13" borderId="0" xfId="0" applyFill="1"/>
    <xf numFmtId="0" fontId="1" fillId="22" borderId="0" xfId="0" applyFont="1" applyFill="1"/>
    <xf numFmtId="9" fontId="1" fillId="22" borderId="0" xfId="0" applyNumberFormat="1" applyFont="1" applyFill="1"/>
    <xf numFmtId="164" fontId="1" fillId="22" borderId="0" xfId="0" applyNumberFormat="1" applyFont="1" applyFill="1"/>
    <xf numFmtId="0" fontId="17" fillId="2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563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866baec-25c9-44ad-a8d2-c5ebc5a6d26c}">
  <we:reference id="WA200009152" version="1.0.0.4" store="en-US" storeType="OMEX"/>
  <we:alternateReferences/>
  <we:properties>
    <we:property name="Microsoft.Office.CampaignId" value="&quot;none&quot;"/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E452-172E-C743-8C29-3B7C4C394195}">
  <dimension ref="A1:BL51"/>
  <sheetViews>
    <sheetView tabSelected="1" topLeftCell="A25" zoomScale="110" zoomScaleNormal="110" workbookViewId="0">
      <selection activeCell="G44" sqref="G44"/>
    </sheetView>
  </sheetViews>
  <sheetFormatPr baseColWidth="10" defaultColWidth="10.6640625" defaultRowHeight="16" x14ac:dyDescent="0.2"/>
  <cols>
    <col min="2" max="2" width="53.6640625" bestFit="1" customWidth="1"/>
    <col min="3" max="3" width="22.33203125" bestFit="1" customWidth="1"/>
    <col min="4" max="4" width="11.83203125" bestFit="1" customWidth="1"/>
    <col min="5" max="6" width="10.1640625" bestFit="1" customWidth="1"/>
    <col min="7" max="7" width="8.33203125" bestFit="1" customWidth="1"/>
    <col min="8" max="8" width="2.6640625" bestFit="1" customWidth="1"/>
    <col min="9" max="9" width="13.1640625" bestFit="1" customWidth="1"/>
    <col min="10" max="15" width="3.5" bestFit="1" customWidth="1"/>
    <col min="16" max="16" width="6.5" bestFit="1" customWidth="1"/>
    <col min="17" max="17" width="13.5" bestFit="1" customWidth="1"/>
    <col min="18" max="20" width="3.5" bestFit="1" customWidth="1"/>
    <col min="21" max="21" width="14" bestFit="1" customWidth="1"/>
  </cols>
  <sheetData>
    <row r="1" spans="1:64" ht="37" x14ac:dyDescent="0.45">
      <c r="B1" s="7" t="s">
        <v>0</v>
      </c>
      <c r="I1" t="s">
        <v>1</v>
      </c>
      <c r="Q1" s="1">
        <v>45674</v>
      </c>
    </row>
    <row r="2" spans="1:64" ht="18" x14ac:dyDescent="0.2">
      <c r="B2" s="8" t="s">
        <v>2</v>
      </c>
      <c r="C2" s="9" t="s">
        <v>3</v>
      </c>
      <c r="I2" t="s">
        <v>4</v>
      </c>
      <c r="Q2">
        <v>1</v>
      </c>
    </row>
    <row r="3" spans="1:64" x14ac:dyDescent="0.2">
      <c r="B3" s="10" t="s">
        <v>5</v>
      </c>
    </row>
    <row r="4" spans="1:64" x14ac:dyDescent="0.2">
      <c r="I4" s="12">
        <f>I5</f>
        <v>45670</v>
      </c>
      <c r="J4" s="12"/>
      <c r="K4" s="12"/>
      <c r="L4" s="12"/>
      <c r="M4" s="12"/>
      <c r="N4" s="12"/>
      <c r="O4" s="12"/>
      <c r="P4" s="12">
        <f>P5</f>
        <v>45677</v>
      </c>
      <c r="Q4" s="12"/>
      <c r="R4" s="12"/>
      <c r="S4" s="12"/>
      <c r="T4" s="12"/>
      <c r="U4" s="12"/>
      <c r="V4" s="12"/>
      <c r="W4" s="12">
        <f>W5</f>
        <v>45684</v>
      </c>
      <c r="X4" s="12"/>
      <c r="Y4" s="12"/>
      <c r="Z4" s="12"/>
      <c r="AA4" s="12"/>
      <c r="AB4" s="12"/>
      <c r="AC4" s="12"/>
      <c r="AD4" s="12">
        <f>AD5</f>
        <v>45691</v>
      </c>
      <c r="AE4" s="12"/>
      <c r="AF4" s="12"/>
      <c r="AG4" s="12"/>
      <c r="AH4" s="12"/>
      <c r="AI4" s="12"/>
      <c r="AJ4" s="12"/>
      <c r="AK4" s="12">
        <f>AK5</f>
        <v>45698</v>
      </c>
      <c r="AL4" s="12"/>
      <c r="AM4" s="12"/>
      <c r="AN4" s="12"/>
      <c r="AO4" s="12"/>
      <c r="AP4" s="12"/>
      <c r="AQ4" s="12"/>
      <c r="AR4" s="12">
        <f>AR5</f>
        <v>45705</v>
      </c>
      <c r="AS4" s="12"/>
      <c r="AT4" s="12"/>
      <c r="AU4" s="12"/>
      <c r="AV4" s="12"/>
      <c r="AW4" s="12"/>
      <c r="AX4" s="12"/>
      <c r="AY4" s="12">
        <f>AY5</f>
        <v>45712</v>
      </c>
      <c r="AZ4" s="12"/>
      <c r="BA4" s="12"/>
      <c r="BB4" s="12"/>
      <c r="BC4" s="12"/>
      <c r="BD4" s="12"/>
      <c r="BE4" s="12"/>
      <c r="BF4" s="12">
        <f>BF5</f>
        <v>45719</v>
      </c>
      <c r="BG4" s="12"/>
      <c r="BH4" s="12"/>
      <c r="BI4" s="12"/>
      <c r="BJ4" s="12"/>
      <c r="BK4" s="12"/>
      <c r="BL4" s="12"/>
    </row>
    <row r="5" spans="1:64" x14ac:dyDescent="0.2">
      <c r="B5" s="20" t="s">
        <v>6</v>
      </c>
      <c r="C5" s="20" t="s">
        <v>7</v>
      </c>
      <c r="D5" s="20" t="s">
        <v>8</v>
      </c>
      <c r="E5" s="20" t="s">
        <v>9</v>
      </c>
      <c r="F5" s="20" t="s">
        <v>10</v>
      </c>
      <c r="G5" s="21"/>
      <c r="H5" s="21"/>
      <c r="I5" s="15">
        <f>Q1-WEEKDAY(Q1,1)+2+7*(Q2-1)</f>
        <v>45670</v>
      </c>
      <c r="J5" s="14">
        <f>I5+1</f>
        <v>45671</v>
      </c>
      <c r="K5" s="14">
        <f t="shared" ref="K5:BL5" si="0">J5+1</f>
        <v>45672</v>
      </c>
      <c r="L5" s="14">
        <f t="shared" si="0"/>
        <v>45673</v>
      </c>
      <c r="M5" s="14">
        <f t="shared" si="0"/>
        <v>45674</v>
      </c>
      <c r="N5" s="96">
        <f t="shared" si="0"/>
        <v>45675</v>
      </c>
      <c r="O5" s="96">
        <f t="shared" si="0"/>
        <v>45676</v>
      </c>
      <c r="P5" s="14">
        <f t="shared" si="0"/>
        <v>45677</v>
      </c>
      <c r="Q5" s="14">
        <f t="shared" si="0"/>
        <v>45678</v>
      </c>
      <c r="R5" s="14">
        <f t="shared" si="0"/>
        <v>45679</v>
      </c>
      <c r="S5" s="14">
        <f t="shared" si="0"/>
        <v>45680</v>
      </c>
      <c r="T5" s="14">
        <f t="shared" si="0"/>
        <v>45681</v>
      </c>
      <c r="U5" s="96">
        <f t="shared" si="0"/>
        <v>45682</v>
      </c>
      <c r="V5" s="96">
        <f t="shared" si="0"/>
        <v>45683</v>
      </c>
      <c r="W5" s="14">
        <f t="shared" si="0"/>
        <v>45684</v>
      </c>
      <c r="X5" s="14">
        <f t="shared" si="0"/>
        <v>45685</v>
      </c>
      <c r="Y5" s="14">
        <f t="shared" si="0"/>
        <v>45686</v>
      </c>
      <c r="Z5" s="14">
        <f t="shared" si="0"/>
        <v>45687</v>
      </c>
      <c r="AA5" s="14">
        <f t="shared" si="0"/>
        <v>45688</v>
      </c>
      <c r="AB5" s="96">
        <f t="shared" si="0"/>
        <v>45689</v>
      </c>
      <c r="AC5" s="96">
        <f t="shared" si="0"/>
        <v>45690</v>
      </c>
      <c r="AD5" s="14">
        <f t="shared" si="0"/>
        <v>45691</v>
      </c>
      <c r="AE5" s="14">
        <f t="shared" si="0"/>
        <v>45692</v>
      </c>
      <c r="AF5" s="14">
        <f t="shared" si="0"/>
        <v>45693</v>
      </c>
      <c r="AG5" s="14">
        <f t="shared" si="0"/>
        <v>45694</v>
      </c>
      <c r="AH5" s="14">
        <f t="shared" si="0"/>
        <v>45695</v>
      </c>
      <c r="AI5" s="96">
        <f t="shared" si="0"/>
        <v>45696</v>
      </c>
      <c r="AJ5" s="96">
        <f t="shared" si="0"/>
        <v>45697</v>
      </c>
      <c r="AK5" s="14">
        <f t="shared" si="0"/>
        <v>45698</v>
      </c>
      <c r="AL5" s="14">
        <f t="shared" si="0"/>
        <v>45699</v>
      </c>
      <c r="AM5" s="14">
        <f t="shared" si="0"/>
        <v>45700</v>
      </c>
      <c r="AN5" s="14">
        <f t="shared" si="0"/>
        <v>45701</v>
      </c>
      <c r="AO5" s="14">
        <f t="shared" si="0"/>
        <v>45702</v>
      </c>
      <c r="AP5" s="96">
        <f t="shared" si="0"/>
        <v>45703</v>
      </c>
      <c r="AQ5" s="96">
        <f t="shared" si="0"/>
        <v>45704</v>
      </c>
      <c r="AR5" s="14">
        <f t="shared" si="0"/>
        <v>45705</v>
      </c>
      <c r="AS5" s="14">
        <f t="shared" si="0"/>
        <v>45706</v>
      </c>
      <c r="AT5" s="14">
        <f t="shared" si="0"/>
        <v>45707</v>
      </c>
      <c r="AU5" s="14">
        <f t="shared" si="0"/>
        <v>45708</v>
      </c>
      <c r="AV5" s="14">
        <f t="shared" si="0"/>
        <v>45709</v>
      </c>
      <c r="AW5" s="96">
        <f t="shared" si="0"/>
        <v>45710</v>
      </c>
      <c r="AX5" s="96">
        <f t="shared" si="0"/>
        <v>45711</v>
      </c>
      <c r="AY5" s="14">
        <f t="shared" si="0"/>
        <v>45712</v>
      </c>
      <c r="AZ5" s="14">
        <f t="shared" si="0"/>
        <v>45713</v>
      </c>
      <c r="BA5" s="14">
        <f t="shared" si="0"/>
        <v>45714</v>
      </c>
      <c r="BB5" s="14">
        <f t="shared" si="0"/>
        <v>45715</v>
      </c>
      <c r="BC5" s="14">
        <f t="shared" si="0"/>
        <v>45716</v>
      </c>
      <c r="BD5" s="96">
        <f t="shared" si="0"/>
        <v>45717</v>
      </c>
      <c r="BE5" s="96">
        <f t="shared" si="0"/>
        <v>45718</v>
      </c>
      <c r="BF5" s="14">
        <f t="shared" si="0"/>
        <v>45719</v>
      </c>
      <c r="BG5" s="14">
        <f t="shared" si="0"/>
        <v>45720</v>
      </c>
      <c r="BH5" s="14">
        <f t="shared" si="0"/>
        <v>45721</v>
      </c>
      <c r="BI5" s="14">
        <f t="shared" si="0"/>
        <v>45722</v>
      </c>
      <c r="BJ5" s="14">
        <f t="shared" si="0"/>
        <v>45723</v>
      </c>
      <c r="BK5" s="96">
        <f t="shared" si="0"/>
        <v>45724</v>
      </c>
      <c r="BL5" s="96">
        <f t="shared" si="0"/>
        <v>45725</v>
      </c>
    </row>
    <row r="6" spans="1:64" ht="17" thickBot="1" x14ac:dyDescent="0.25">
      <c r="B6" s="58"/>
      <c r="C6" s="58"/>
      <c r="D6" s="58"/>
      <c r="E6" s="58"/>
      <c r="F6" s="58"/>
      <c r="G6" s="58"/>
      <c r="H6" s="58"/>
      <c r="I6" s="59" t="str">
        <f>LEFT(TEXT(I5,"ddd"),1)</f>
        <v>l</v>
      </c>
      <c r="J6" s="60" t="str">
        <f t="shared" ref="J6:BL6" si="1">LEFT(TEXT(J5,"ddd"),1)</f>
        <v>m</v>
      </c>
      <c r="K6" s="60" t="str">
        <f t="shared" si="1"/>
        <v>m</v>
      </c>
      <c r="L6" s="60" t="str">
        <f t="shared" si="1"/>
        <v>j</v>
      </c>
      <c r="M6" s="60" t="str">
        <f t="shared" si="1"/>
        <v>v</v>
      </c>
      <c r="N6" s="97" t="str">
        <f t="shared" si="1"/>
        <v>s</v>
      </c>
      <c r="O6" s="97" t="str">
        <f t="shared" si="1"/>
        <v>d</v>
      </c>
      <c r="P6" s="60" t="str">
        <f t="shared" si="1"/>
        <v>l</v>
      </c>
      <c r="Q6" s="60" t="str">
        <f t="shared" si="1"/>
        <v>m</v>
      </c>
      <c r="R6" s="60" t="str">
        <f t="shared" si="1"/>
        <v>m</v>
      </c>
      <c r="S6" s="60" t="str">
        <f t="shared" si="1"/>
        <v>j</v>
      </c>
      <c r="T6" s="60" t="str">
        <f t="shared" si="1"/>
        <v>v</v>
      </c>
      <c r="U6" s="97" t="str">
        <f t="shared" si="1"/>
        <v>s</v>
      </c>
      <c r="V6" s="97" t="str">
        <f t="shared" si="1"/>
        <v>d</v>
      </c>
      <c r="W6" s="60" t="str">
        <f t="shared" si="1"/>
        <v>l</v>
      </c>
      <c r="X6" s="60" t="str">
        <f t="shared" si="1"/>
        <v>m</v>
      </c>
      <c r="Y6" s="60" t="str">
        <f t="shared" si="1"/>
        <v>m</v>
      </c>
      <c r="Z6" s="60" t="str">
        <f t="shared" si="1"/>
        <v>j</v>
      </c>
      <c r="AA6" s="60" t="str">
        <f t="shared" si="1"/>
        <v>v</v>
      </c>
      <c r="AB6" s="97" t="str">
        <f t="shared" si="1"/>
        <v>s</v>
      </c>
      <c r="AC6" s="97" t="str">
        <f t="shared" si="1"/>
        <v>d</v>
      </c>
      <c r="AD6" s="60" t="str">
        <f t="shared" si="1"/>
        <v>l</v>
      </c>
      <c r="AE6" s="60" t="str">
        <f t="shared" si="1"/>
        <v>m</v>
      </c>
      <c r="AF6" s="60" t="str">
        <f t="shared" si="1"/>
        <v>m</v>
      </c>
      <c r="AG6" s="60" t="str">
        <f t="shared" si="1"/>
        <v>j</v>
      </c>
      <c r="AH6" s="60" t="str">
        <f t="shared" si="1"/>
        <v>v</v>
      </c>
      <c r="AI6" s="97" t="str">
        <f t="shared" si="1"/>
        <v>s</v>
      </c>
      <c r="AJ6" s="97" t="str">
        <f t="shared" si="1"/>
        <v>d</v>
      </c>
      <c r="AK6" s="60" t="str">
        <f t="shared" si="1"/>
        <v>l</v>
      </c>
      <c r="AL6" s="60" t="str">
        <f t="shared" si="1"/>
        <v>m</v>
      </c>
      <c r="AM6" s="60" t="str">
        <f t="shared" si="1"/>
        <v>m</v>
      </c>
      <c r="AN6" s="60" t="str">
        <f t="shared" si="1"/>
        <v>j</v>
      </c>
      <c r="AO6" s="60" t="str">
        <f t="shared" si="1"/>
        <v>v</v>
      </c>
      <c r="AP6" s="97" t="str">
        <f t="shared" si="1"/>
        <v>s</v>
      </c>
      <c r="AQ6" s="97" t="str">
        <f t="shared" si="1"/>
        <v>d</v>
      </c>
      <c r="AR6" s="60" t="str">
        <f t="shared" si="1"/>
        <v>l</v>
      </c>
      <c r="AS6" s="60" t="str">
        <f t="shared" si="1"/>
        <v>m</v>
      </c>
      <c r="AT6" s="60" t="str">
        <f t="shared" si="1"/>
        <v>m</v>
      </c>
      <c r="AU6" s="60" t="str">
        <f t="shared" si="1"/>
        <v>j</v>
      </c>
      <c r="AV6" s="60" t="str">
        <f t="shared" si="1"/>
        <v>v</v>
      </c>
      <c r="AW6" s="97" t="str">
        <f t="shared" si="1"/>
        <v>s</v>
      </c>
      <c r="AX6" s="97" t="str">
        <f t="shared" si="1"/>
        <v>d</v>
      </c>
      <c r="AY6" s="60" t="str">
        <f t="shared" si="1"/>
        <v>l</v>
      </c>
      <c r="AZ6" s="60" t="str">
        <f t="shared" si="1"/>
        <v>m</v>
      </c>
      <c r="BA6" s="60" t="str">
        <f t="shared" si="1"/>
        <v>m</v>
      </c>
      <c r="BB6" s="60" t="str">
        <f t="shared" si="1"/>
        <v>j</v>
      </c>
      <c r="BC6" s="60" t="str">
        <f t="shared" si="1"/>
        <v>v</v>
      </c>
      <c r="BD6" s="97" t="str">
        <f t="shared" si="1"/>
        <v>s</v>
      </c>
      <c r="BE6" s="97" t="str">
        <f t="shared" si="1"/>
        <v>d</v>
      </c>
      <c r="BF6" s="60" t="str">
        <f t="shared" si="1"/>
        <v>l</v>
      </c>
      <c r="BG6" s="60" t="str">
        <f t="shared" si="1"/>
        <v>m</v>
      </c>
      <c r="BH6" s="60" t="str">
        <f t="shared" si="1"/>
        <v>m</v>
      </c>
      <c r="BI6" s="60" t="str">
        <f t="shared" si="1"/>
        <v>j</v>
      </c>
      <c r="BJ6" s="60" t="str">
        <f t="shared" si="1"/>
        <v>v</v>
      </c>
      <c r="BK6" s="97" t="str">
        <f t="shared" si="1"/>
        <v>s</v>
      </c>
      <c r="BL6" s="97" t="str">
        <f t="shared" si="1"/>
        <v>d</v>
      </c>
    </row>
    <row r="7" spans="1:64" ht="17" thickBot="1" x14ac:dyDescent="0.25">
      <c r="A7" t="s">
        <v>11</v>
      </c>
      <c r="B7" s="16"/>
      <c r="C7" s="16"/>
      <c r="D7" s="16"/>
      <c r="E7" s="16"/>
      <c r="F7" s="16"/>
      <c r="G7" s="16"/>
      <c r="H7" s="16" t="str">
        <f t="shared" ref="H7:H26" si="2">IF(OR(ISBLANK(E7),ISBLANK(F7)),"",F7-E7+1)</f>
        <v/>
      </c>
      <c r="I7" s="11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</row>
    <row r="8" spans="1:64" ht="17" thickBot="1" x14ac:dyDescent="0.25">
      <c r="B8" s="35" t="s">
        <v>12</v>
      </c>
      <c r="C8" s="35"/>
      <c r="D8" s="35"/>
      <c r="E8" s="35"/>
      <c r="F8" s="35"/>
      <c r="G8" s="35"/>
      <c r="H8" s="35" t="str">
        <f t="shared" si="2"/>
        <v/>
      </c>
      <c r="I8" s="36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</row>
    <row r="9" spans="1:64" ht="17" thickBot="1" x14ac:dyDescent="0.25">
      <c r="B9" s="32" t="s">
        <v>21</v>
      </c>
      <c r="C9" s="32" t="s">
        <v>13</v>
      </c>
      <c r="D9" s="33">
        <v>1</v>
      </c>
      <c r="E9" s="34">
        <v>45674</v>
      </c>
      <c r="F9" s="34">
        <v>45677</v>
      </c>
      <c r="G9" s="32"/>
      <c r="H9" s="32">
        <f t="shared" si="2"/>
        <v>4</v>
      </c>
      <c r="I9" s="61"/>
      <c r="J9" s="62"/>
      <c r="K9" s="62"/>
      <c r="L9" s="63"/>
      <c r="M9" s="64"/>
      <c r="N9" s="65"/>
      <c r="O9" s="65"/>
      <c r="P9" s="66"/>
      <c r="Q9" s="67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62"/>
      <c r="BK9" s="62"/>
      <c r="BL9" s="62"/>
    </row>
    <row r="10" spans="1:64" ht="17" thickBot="1" x14ac:dyDescent="0.25">
      <c r="B10" s="22" t="s">
        <v>22</v>
      </c>
      <c r="C10" s="22" t="s">
        <v>13</v>
      </c>
      <c r="D10" s="23">
        <v>1</v>
      </c>
      <c r="E10" s="24">
        <v>45674</v>
      </c>
      <c r="F10" s="24">
        <v>45678</v>
      </c>
      <c r="G10" s="22"/>
      <c r="H10" s="22">
        <f t="shared" si="2"/>
        <v>5</v>
      </c>
      <c r="I10" s="68"/>
      <c r="J10" s="69"/>
      <c r="K10" s="69"/>
      <c r="L10" s="70"/>
      <c r="M10" s="71"/>
      <c r="N10" s="72"/>
      <c r="O10" s="72"/>
      <c r="P10" s="72"/>
      <c r="Q10" s="73"/>
      <c r="R10" s="68"/>
      <c r="S10" s="69"/>
      <c r="T10" s="69"/>
      <c r="U10" s="69"/>
      <c r="V10" s="69"/>
      <c r="W10" s="74"/>
      <c r="X10" s="74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</row>
    <row r="11" spans="1:64" ht="17" thickBot="1" x14ac:dyDescent="0.25">
      <c r="B11" s="38" t="s">
        <v>23</v>
      </c>
      <c r="C11" s="38" t="s">
        <v>13</v>
      </c>
      <c r="D11" s="39">
        <v>0</v>
      </c>
      <c r="E11" s="40">
        <v>45684</v>
      </c>
      <c r="F11" s="40">
        <v>45685</v>
      </c>
      <c r="G11" s="38"/>
      <c r="H11" s="38">
        <f t="shared" si="2"/>
        <v>2</v>
      </c>
      <c r="I11" s="75"/>
      <c r="J11" s="74"/>
      <c r="K11" s="74"/>
      <c r="L11" s="74"/>
      <c r="M11" s="76"/>
      <c r="N11" s="76"/>
      <c r="O11" s="76"/>
      <c r="P11" s="76"/>
      <c r="Q11" s="76"/>
      <c r="R11" s="74"/>
      <c r="S11" s="74"/>
      <c r="T11" s="74"/>
      <c r="U11" s="74"/>
      <c r="V11" s="77"/>
      <c r="W11" s="78"/>
      <c r="X11" s="79"/>
      <c r="Y11" s="75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</row>
    <row r="12" spans="1:64" ht="17" thickBot="1" x14ac:dyDescent="0.25">
      <c r="B12" s="44" t="s">
        <v>14</v>
      </c>
      <c r="C12" s="44"/>
      <c r="D12" s="45"/>
      <c r="E12" s="46"/>
      <c r="F12" s="46"/>
      <c r="G12" s="44"/>
      <c r="H12" s="44" t="str">
        <f t="shared" si="2"/>
        <v/>
      </c>
      <c r="I12" s="47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</row>
    <row r="13" spans="1:64" ht="17" thickBot="1" x14ac:dyDescent="0.25">
      <c r="B13" s="41" t="s">
        <v>47</v>
      </c>
      <c r="C13" s="41" t="s">
        <v>13</v>
      </c>
      <c r="D13" s="42">
        <v>0.75</v>
      </c>
      <c r="E13" s="43">
        <v>45683</v>
      </c>
      <c r="F13" s="43">
        <v>45688</v>
      </c>
      <c r="G13" s="41"/>
      <c r="H13" s="41">
        <f t="shared" si="2"/>
        <v>6</v>
      </c>
      <c r="I13" s="61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3"/>
      <c r="V13" s="80"/>
      <c r="W13" s="81"/>
      <c r="X13" s="81"/>
      <c r="Y13" s="81"/>
      <c r="Z13" s="81"/>
      <c r="AA13" s="82"/>
      <c r="AB13" s="61"/>
      <c r="AC13" s="76"/>
      <c r="AD13" s="76"/>
      <c r="AE13" s="76"/>
      <c r="AF13" s="76"/>
      <c r="AG13" s="76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</row>
    <row r="14" spans="1:64" ht="17" thickBot="1" x14ac:dyDescent="0.25">
      <c r="B14" s="25" t="s">
        <v>15</v>
      </c>
      <c r="C14" s="25" t="s">
        <v>13</v>
      </c>
      <c r="D14" s="26">
        <v>0.15</v>
      </c>
      <c r="E14" s="27">
        <v>45690</v>
      </c>
      <c r="F14" s="27">
        <v>45694</v>
      </c>
      <c r="G14" s="25"/>
      <c r="H14" s="25">
        <f t="shared" si="2"/>
        <v>5</v>
      </c>
      <c r="I14" s="68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2"/>
      <c r="W14" s="62"/>
      <c r="X14" s="62"/>
      <c r="Y14" s="62"/>
      <c r="Z14" s="62"/>
      <c r="AA14" s="62"/>
      <c r="AB14" s="70"/>
      <c r="AC14" s="71"/>
      <c r="AD14" s="72"/>
      <c r="AE14" s="72"/>
      <c r="AF14" s="72"/>
      <c r="AG14" s="73"/>
      <c r="AH14" s="75"/>
      <c r="AI14" s="74"/>
      <c r="AJ14" s="74"/>
      <c r="AK14" s="74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</row>
    <row r="15" spans="1:64" ht="17" thickBot="1" x14ac:dyDescent="0.25">
      <c r="B15" s="49" t="s">
        <v>24</v>
      </c>
      <c r="C15" s="49" t="s">
        <v>13</v>
      </c>
      <c r="D15" s="50">
        <v>0.1</v>
      </c>
      <c r="E15" s="51">
        <v>45695</v>
      </c>
      <c r="F15" s="51">
        <v>45698</v>
      </c>
      <c r="G15" s="49"/>
      <c r="H15" s="49">
        <f t="shared" si="2"/>
        <v>4</v>
      </c>
      <c r="I15" s="75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6"/>
      <c r="AD15" s="76"/>
      <c r="AE15" s="76"/>
      <c r="AF15" s="76"/>
      <c r="AG15" s="83"/>
      <c r="AH15" s="84"/>
      <c r="AI15" s="85"/>
      <c r="AJ15" s="85"/>
      <c r="AK15" s="86"/>
      <c r="AL15" s="75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</row>
    <row r="16" spans="1:64" ht="17" thickBot="1" x14ac:dyDescent="0.25">
      <c r="B16" s="53" t="s">
        <v>16</v>
      </c>
      <c r="C16" s="53"/>
      <c r="D16" s="54"/>
      <c r="E16" s="55"/>
      <c r="F16" s="55"/>
      <c r="G16" s="53"/>
      <c r="H16" s="53" t="str">
        <f t="shared" si="2"/>
        <v/>
      </c>
      <c r="I16" s="56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57"/>
    </row>
    <row r="17" spans="2:64" ht="17" thickBot="1" x14ac:dyDescent="0.25">
      <c r="B17" s="18" t="s">
        <v>17</v>
      </c>
      <c r="C17" s="18" t="s">
        <v>13</v>
      </c>
      <c r="D17" s="52">
        <v>0.3</v>
      </c>
      <c r="E17" s="19">
        <v>45676</v>
      </c>
      <c r="F17" s="19">
        <v>45681</v>
      </c>
      <c r="G17" s="18"/>
      <c r="H17" s="18">
        <f t="shared" si="2"/>
        <v>6</v>
      </c>
      <c r="I17" s="61"/>
      <c r="J17" s="62"/>
      <c r="K17" s="62"/>
      <c r="L17" s="62"/>
      <c r="M17" s="76"/>
      <c r="N17" s="83"/>
      <c r="O17" s="87"/>
      <c r="P17" s="88"/>
      <c r="Q17" s="88"/>
      <c r="R17" s="88"/>
      <c r="S17" s="88"/>
      <c r="T17" s="89"/>
      <c r="U17" s="61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</row>
    <row r="18" spans="2:64" ht="17" thickBot="1" x14ac:dyDescent="0.25">
      <c r="B18" s="28" t="s">
        <v>18</v>
      </c>
      <c r="C18" s="28" t="s">
        <v>13</v>
      </c>
      <c r="D18" s="30">
        <v>0.9</v>
      </c>
      <c r="E18" s="29">
        <v>45674</v>
      </c>
      <c r="F18" s="29">
        <v>45680</v>
      </c>
      <c r="G18" s="28"/>
      <c r="H18" s="28">
        <f t="shared" si="2"/>
        <v>7</v>
      </c>
      <c r="I18" s="68"/>
      <c r="J18" s="69"/>
      <c r="K18" s="69"/>
      <c r="L18" s="70"/>
      <c r="M18" s="90"/>
      <c r="N18" s="91"/>
      <c r="O18" s="91"/>
      <c r="P18" s="91"/>
      <c r="Q18" s="91"/>
      <c r="R18" s="91"/>
      <c r="S18" s="92"/>
      <c r="T18" s="61"/>
      <c r="U18" s="69"/>
      <c r="V18" s="69"/>
      <c r="W18" s="74"/>
      <c r="X18" s="74"/>
      <c r="Y18" s="74"/>
      <c r="Z18" s="74"/>
      <c r="AA18" s="74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</row>
    <row r="19" spans="2:64" ht="17" thickBot="1" x14ac:dyDescent="0.25">
      <c r="B19" s="28" t="s">
        <v>19</v>
      </c>
      <c r="C19" s="28" t="s">
        <v>13</v>
      </c>
      <c r="D19" s="31">
        <v>0.1</v>
      </c>
      <c r="E19" s="29">
        <v>45684</v>
      </c>
      <c r="F19" s="29">
        <v>45688</v>
      </c>
      <c r="G19" s="28"/>
      <c r="H19" s="28">
        <f t="shared" si="2"/>
        <v>5</v>
      </c>
      <c r="I19" s="68"/>
      <c r="J19" s="69"/>
      <c r="K19" s="69"/>
      <c r="L19" s="69"/>
      <c r="M19" s="62"/>
      <c r="N19" s="62"/>
      <c r="O19" s="62"/>
      <c r="P19" s="62"/>
      <c r="Q19" s="62"/>
      <c r="R19" s="62"/>
      <c r="S19" s="62"/>
      <c r="T19" s="69"/>
      <c r="U19" s="69"/>
      <c r="V19" s="70"/>
      <c r="W19" s="93"/>
      <c r="X19" s="94"/>
      <c r="Y19" s="94"/>
      <c r="Z19" s="94"/>
      <c r="AA19" s="95"/>
      <c r="AB19" s="68"/>
      <c r="AC19" s="69"/>
      <c r="AD19" s="69"/>
      <c r="AE19" s="69"/>
      <c r="AF19" s="69"/>
      <c r="AG19" s="69"/>
      <c r="AH19" s="69"/>
      <c r="AI19" s="69"/>
      <c r="AJ19" s="69"/>
      <c r="AK19" s="69"/>
      <c r="AL19" s="74"/>
      <c r="AM19" s="74"/>
      <c r="AN19" s="74"/>
      <c r="AO19" s="74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</row>
    <row r="20" spans="2:64" ht="17" thickBot="1" x14ac:dyDescent="0.25">
      <c r="B20" s="28" t="s">
        <v>20</v>
      </c>
      <c r="C20" s="28" t="s">
        <v>13</v>
      </c>
      <c r="D20" s="31">
        <v>0</v>
      </c>
      <c r="E20" s="29">
        <v>45699</v>
      </c>
      <c r="F20" s="29">
        <v>45702</v>
      </c>
      <c r="G20" s="28"/>
      <c r="H20" s="28">
        <f t="shared" si="2"/>
        <v>4</v>
      </c>
      <c r="I20" s="68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2"/>
      <c r="X20" s="62"/>
      <c r="Y20" s="62"/>
      <c r="Z20" s="62"/>
      <c r="AA20" s="62"/>
      <c r="AB20" s="69"/>
      <c r="AC20" s="69"/>
      <c r="AD20" s="69"/>
      <c r="AE20" s="69"/>
      <c r="AF20" s="69"/>
      <c r="AG20" s="69"/>
      <c r="AH20" s="69"/>
      <c r="AI20" s="69"/>
      <c r="AJ20" s="69"/>
      <c r="AK20" s="70"/>
      <c r="AL20" s="93"/>
      <c r="AM20" s="94"/>
      <c r="AN20" s="94"/>
      <c r="AO20" s="95"/>
      <c r="AP20" s="68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</row>
    <row r="21" spans="2:64" x14ac:dyDescent="0.2">
      <c r="B21" s="6" t="s">
        <v>25</v>
      </c>
      <c r="C21" s="6"/>
      <c r="D21" s="6"/>
      <c r="E21" s="6"/>
      <c r="F21" s="6"/>
      <c r="H21" s="17" t="str">
        <f t="shared" si="2"/>
        <v/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</row>
    <row r="22" spans="2:64" x14ac:dyDescent="0.2">
      <c r="B22" s="98" t="s">
        <v>26</v>
      </c>
      <c r="C22" s="98"/>
      <c r="D22" s="98"/>
      <c r="E22" s="99">
        <v>45681</v>
      </c>
      <c r="F22" s="99">
        <v>45681</v>
      </c>
      <c r="H22" s="17">
        <f t="shared" si="2"/>
        <v>1</v>
      </c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1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0"/>
      <c r="AQ22" s="100"/>
      <c r="AR22" s="100"/>
      <c r="AS22" s="100"/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  <c r="BD22" s="100"/>
      <c r="BE22" s="100"/>
      <c r="BF22" s="100"/>
      <c r="BG22" s="100"/>
      <c r="BH22" s="100"/>
      <c r="BI22" s="100"/>
      <c r="BJ22" s="100"/>
      <c r="BK22" s="100"/>
      <c r="BL22" s="100"/>
    </row>
    <row r="23" spans="2:64" x14ac:dyDescent="0.2">
      <c r="B23" s="98" t="s">
        <v>27</v>
      </c>
      <c r="C23" s="98"/>
      <c r="D23" s="98"/>
      <c r="E23" s="99">
        <v>45681</v>
      </c>
      <c r="F23" s="99">
        <v>45681</v>
      </c>
      <c r="H23" s="17">
        <f t="shared" si="2"/>
        <v>1</v>
      </c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2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0"/>
      <c r="AQ23" s="100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0"/>
      <c r="BE23" s="100"/>
      <c r="BF23" s="100"/>
      <c r="BG23" s="100"/>
      <c r="BH23" s="100"/>
      <c r="BI23" s="100"/>
      <c r="BJ23" s="100"/>
      <c r="BK23" s="100"/>
      <c r="BL23" s="100"/>
    </row>
    <row r="24" spans="2:64" x14ac:dyDescent="0.2">
      <c r="B24" s="98" t="s">
        <v>28</v>
      </c>
      <c r="C24" s="98"/>
      <c r="D24" s="98"/>
      <c r="E24" s="99">
        <v>45695</v>
      </c>
      <c r="F24" s="99">
        <v>45695</v>
      </c>
      <c r="H24" s="17">
        <f t="shared" si="2"/>
        <v>1</v>
      </c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1"/>
      <c r="AI24" s="100"/>
      <c r="AJ24" s="100"/>
      <c r="AK24" s="100"/>
      <c r="AL24" s="100"/>
      <c r="AM24" s="100"/>
      <c r="AN24" s="100"/>
      <c r="AO24" s="100"/>
      <c r="AP24" s="100"/>
      <c r="AQ24" s="100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100"/>
      <c r="BE24" s="100"/>
      <c r="BF24" s="100"/>
      <c r="BG24" s="100"/>
      <c r="BH24" s="100"/>
      <c r="BI24" s="100"/>
      <c r="BJ24" s="100"/>
      <c r="BK24" s="100"/>
      <c r="BL24" s="100"/>
    </row>
    <row r="25" spans="2:64" x14ac:dyDescent="0.2">
      <c r="B25" s="98" t="s">
        <v>29</v>
      </c>
      <c r="C25" s="98"/>
      <c r="D25" s="98"/>
      <c r="E25" s="99">
        <v>45695</v>
      </c>
      <c r="F25" s="99">
        <v>45695</v>
      </c>
      <c r="H25" s="17">
        <f t="shared" si="2"/>
        <v>1</v>
      </c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2"/>
      <c r="AI25" s="100"/>
      <c r="AJ25" s="100"/>
      <c r="AK25" s="100"/>
      <c r="AL25" s="100"/>
      <c r="AM25" s="100"/>
      <c r="AN25" s="100"/>
      <c r="AO25" s="100"/>
      <c r="AP25" s="100"/>
      <c r="AQ25" s="100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E25" s="100"/>
      <c r="BF25" s="100"/>
      <c r="BG25" s="100"/>
      <c r="BH25" s="100"/>
      <c r="BI25" s="100"/>
      <c r="BJ25" s="100"/>
      <c r="BK25" s="100"/>
      <c r="BL25" s="100"/>
    </row>
    <row r="26" spans="2:64" x14ac:dyDescent="0.2">
      <c r="B26" s="98" t="s">
        <v>30</v>
      </c>
      <c r="C26" s="98"/>
      <c r="D26" s="98"/>
      <c r="E26" s="99">
        <v>45715</v>
      </c>
      <c r="F26" s="99">
        <v>45715</v>
      </c>
      <c r="H26" s="17">
        <f t="shared" si="2"/>
        <v>1</v>
      </c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0"/>
      <c r="AQ26" s="100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3"/>
      <c r="BC26" s="100"/>
      <c r="BD26" s="100"/>
      <c r="BE26" s="100"/>
      <c r="BF26" s="100"/>
      <c r="BG26" s="100"/>
      <c r="BH26" s="100"/>
      <c r="BI26" s="100"/>
      <c r="BJ26" s="100"/>
      <c r="BK26" s="100"/>
      <c r="BL26" s="100"/>
    </row>
    <row r="29" spans="2:64" ht="21" x14ac:dyDescent="0.25">
      <c r="B29" s="104" t="s">
        <v>46</v>
      </c>
      <c r="C29" s="105"/>
      <c r="D29" s="105"/>
      <c r="E29" s="105"/>
      <c r="F29" s="105"/>
    </row>
    <row r="30" spans="2:64" x14ac:dyDescent="0.2">
      <c r="I30" s="106" t="s">
        <v>31</v>
      </c>
      <c r="J30" s="106"/>
      <c r="K30" s="106"/>
      <c r="L30" s="106"/>
      <c r="M30" s="106"/>
      <c r="N30" s="106"/>
      <c r="O30" s="106"/>
      <c r="P30" s="106" t="s">
        <v>32</v>
      </c>
      <c r="Q30" s="106"/>
      <c r="R30" s="106"/>
      <c r="S30" s="106"/>
      <c r="T30" s="106"/>
    </row>
    <row r="31" spans="2:64" x14ac:dyDescent="0.2">
      <c r="B31" s="6" t="s">
        <v>6</v>
      </c>
      <c r="C31" s="6" t="s">
        <v>7</v>
      </c>
      <c r="D31" s="6" t="s">
        <v>8</v>
      </c>
      <c r="E31" s="6" t="s">
        <v>9</v>
      </c>
      <c r="F31" s="6" t="s">
        <v>10</v>
      </c>
      <c r="G31" s="112" t="s">
        <v>45</v>
      </c>
      <c r="I31" s="107">
        <v>13</v>
      </c>
      <c r="J31" s="107">
        <v>14</v>
      </c>
      <c r="K31" s="107">
        <v>15</v>
      </c>
      <c r="L31" s="107">
        <v>16</v>
      </c>
      <c r="M31" s="107">
        <v>17</v>
      </c>
      <c r="N31" s="107">
        <v>18</v>
      </c>
      <c r="O31" s="107">
        <v>19</v>
      </c>
      <c r="P31" s="107">
        <v>20</v>
      </c>
      <c r="Q31" s="107">
        <v>21</v>
      </c>
      <c r="R31" s="107">
        <v>22</v>
      </c>
      <c r="S31" s="107">
        <v>23</v>
      </c>
      <c r="T31" s="107">
        <v>24</v>
      </c>
      <c r="U31" s="108" t="s">
        <v>33</v>
      </c>
    </row>
    <row r="32" spans="2:64" x14ac:dyDescent="0.2">
      <c r="B32" s="5" t="s">
        <v>12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 spans="2:21" x14ac:dyDescent="0.2">
      <c r="B33" s="115" t="s">
        <v>21</v>
      </c>
      <c r="C33" s="115" t="s">
        <v>13</v>
      </c>
      <c r="D33" s="116">
        <v>1</v>
      </c>
      <c r="E33" s="117">
        <v>45674</v>
      </c>
      <c r="F33" s="117">
        <v>45677</v>
      </c>
      <c r="G33" s="118"/>
      <c r="I33" s="100"/>
      <c r="J33" s="100"/>
      <c r="K33" s="100"/>
      <c r="L33" s="100"/>
      <c r="M33" s="102"/>
      <c r="N33" s="102"/>
      <c r="O33" s="102"/>
      <c r="P33" s="102"/>
      <c r="Q33" s="100"/>
      <c r="R33" s="100"/>
      <c r="S33" s="100"/>
      <c r="T33" s="100"/>
    </row>
    <row r="34" spans="2:21" x14ac:dyDescent="0.2">
      <c r="B34" s="115" t="s">
        <v>22</v>
      </c>
      <c r="C34" s="115" t="s">
        <v>13</v>
      </c>
      <c r="D34" s="116">
        <v>1</v>
      </c>
      <c r="E34" s="117">
        <v>45674</v>
      </c>
      <c r="F34" s="117">
        <v>45678</v>
      </c>
      <c r="G34" s="118"/>
      <c r="I34" s="100"/>
      <c r="J34" s="100"/>
      <c r="K34" s="100"/>
      <c r="L34" s="100"/>
      <c r="M34" s="102"/>
      <c r="N34" s="102"/>
      <c r="O34" s="102"/>
      <c r="P34" s="102"/>
      <c r="Q34" s="102"/>
      <c r="R34" s="100"/>
      <c r="S34" s="100"/>
      <c r="T34" s="100"/>
    </row>
    <row r="35" spans="2:21" x14ac:dyDescent="0.2">
      <c r="B35" s="115" t="s">
        <v>39</v>
      </c>
      <c r="C35" s="115" t="s">
        <v>13</v>
      </c>
      <c r="D35" s="116">
        <v>1</v>
      </c>
      <c r="E35" s="117">
        <v>45684</v>
      </c>
      <c r="F35" s="117">
        <v>45685</v>
      </c>
      <c r="G35" s="118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13" t="s">
        <v>34</v>
      </c>
    </row>
    <row r="36" spans="2:21" x14ac:dyDescent="0.2">
      <c r="B36" s="5" t="s">
        <v>14</v>
      </c>
      <c r="C36" s="5"/>
      <c r="D36" s="5"/>
      <c r="E36" s="5"/>
      <c r="F36" s="5"/>
      <c r="G36" s="5"/>
      <c r="H36" s="5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5"/>
    </row>
    <row r="37" spans="2:21" x14ac:dyDescent="0.2">
      <c r="B37" s="2" t="s">
        <v>47</v>
      </c>
      <c r="C37" s="2" t="s">
        <v>13</v>
      </c>
      <c r="D37" s="3">
        <v>0.75</v>
      </c>
      <c r="E37" s="4">
        <v>45683</v>
      </c>
      <c r="F37" s="4">
        <v>45688</v>
      </c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13" t="s">
        <v>35</v>
      </c>
    </row>
    <row r="38" spans="2:21" x14ac:dyDescent="0.2">
      <c r="B38" s="2" t="s">
        <v>15</v>
      </c>
      <c r="C38" s="2" t="s">
        <v>13</v>
      </c>
      <c r="D38" s="3">
        <v>0.15</v>
      </c>
      <c r="E38" s="4">
        <v>45690</v>
      </c>
      <c r="F38" s="4">
        <v>45694</v>
      </c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13" t="s">
        <v>36</v>
      </c>
    </row>
    <row r="39" spans="2:21" x14ac:dyDescent="0.2">
      <c r="B39" s="2" t="s">
        <v>24</v>
      </c>
      <c r="C39" s="2" t="s">
        <v>13</v>
      </c>
      <c r="D39" s="3">
        <v>0.1</v>
      </c>
      <c r="E39" s="4">
        <v>45695</v>
      </c>
      <c r="F39" s="4">
        <v>45698</v>
      </c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13" t="s">
        <v>37</v>
      </c>
    </row>
    <row r="40" spans="2:21" x14ac:dyDescent="0.2">
      <c r="B40" s="119" t="s">
        <v>41</v>
      </c>
      <c r="C40" s="119" t="s">
        <v>13</v>
      </c>
      <c r="D40" s="120">
        <v>0.25</v>
      </c>
      <c r="E40" s="121">
        <v>45685</v>
      </c>
      <c r="F40" s="121">
        <v>45692</v>
      </c>
      <c r="G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13" t="s">
        <v>42</v>
      </c>
    </row>
    <row r="41" spans="2:21" x14ac:dyDescent="0.2">
      <c r="B41" s="115" t="s">
        <v>48</v>
      </c>
      <c r="C41" s="115" t="s">
        <v>13</v>
      </c>
      <c r="D41" s="116">
        <v>1</v>
      </c>
      <c r="E41" s="117">
        <v>45687</v>
      </c>
      <c r="F41" s="117">
        <v>45690</v>
      </c>
      <c r="G41" s="115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13" t="s">
        <v>43</v>
      </c>
    </row>
    <row r="42" spans="2:21" x14ac:dyDescent="0.2">
      <c r="B42" s="5" t="s">
        <v>16</v>
      </c>
      <c r="C42" s="5"/>
      <c r="D42" s="5"/>
      <c r="E42" s="5"/>
      <c r="F42" s="5"/>
      <c r="G42" s="5"/>
      <c r="H42" s="5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5"/>
    </row>
    <row r="43" spans="2:21" x14ac:dyDescent="0.2">
      <c r="B43" s="2" t="s">
        <v>17</v>
      </c>
      <c r="C43" s="2" t="s">
        <v>13</v>
      </c>
      <c r="D43" s="3">
        <v>0.3</v>
      </c>
      <c r="E43" s="4">
        <v>45676</v>
      </c>
      <c r="F43" s="4">
        <v>45681</v>
      </c>
      <c r="I43" s="100"/>
      <c r="J43" s="100"/>
      <c r="K43" s="100"/>
      <c r="L43" s="100"/>
      <c r="M43" s="100"/>
      <c r="N43" s="100"/>
      <c r="O43" s="110"/>
      <c r="P43" s="110"/>
      <c r="Q43" s="110"/>
      <c r="R43" s="110"/>
      <c r="S43" s="110"/>
      <c r="T43" s="110"/>
    </row>
    <row r="44" spans="2:21" x14ac:dyDescent="0.2">
      <c r="B44" s="122" t="s">
        <v>18</v>
      </c>
      <c r="C44" s="119" t="s">
        <v>13</v>
      </c>
      <c r="D44" s="120">
        <v>0.05</v>
      </c>
      <c r="E44" s="121">
        <v>45674</v>
      </c>
      <c r="F44" s="121">
        <v>45680</v>
      </c>
      <c r="G44" s="100"/>
      <c r="I44" s="100"/>
      <c r="J44" s="100"/>
      <c r="K44" s="100"/>
      <c r="L44" s="100"/>
      <c r="M44" s="111"/>
      <c r="N44" s="111"/>
      <c r="O44" s="111"/>
      <c r="P44" s="111"/>
      <c r="Q44" s="111"/>
      <c r="R44" s="111"/>
      <c r="S44" s="111"/>
      <c r="T44" s="100"/>
    </row>
    <row r="45" spans="2:21" x14ac:dyDescent="0.2">
      <c r="B45" s="2" t="s">
        <v>19</v>
      </c>
      <c r="C45" s="2" t="s">
        <v>13</v>
      </c>
      <c r="D45" s="3">
        <v>0.1</v>
      </c>
      <c r="E45" s="4">
        <v>45697</v>
      </c>
      <c r="F45" s="4">
        <v>45701</v>
      </c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13" t="s">
        <v>40</v>
      </c>
    </row>
    <row r="46" spans="2:21" x14ac:dyDescent="0.2">
      <c r="B46" s="2" t="s">
        <v>20</v>
      </c>
      <c r="C46" s="2" t="s">
        <v>13</v>
      </c>
      <c r="D46" s="3">
        <v>0</v>
      </c>
      <c r="E46" s="4">
        <v>45699</v>
      </c>
      <c r="F46" s="4">
        <v>45702</v>
      </c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13" t="s">
        <v>38</v>
      </c>
    </row>
    <row r="47" spans="2:21" x14ac:dyDescent="0.2">
      <c r="B47" s="6" t="s">
        <v>25</v>
      </c>
      <c r="C47" s="6"/>
      <c r="D47" s="6"/>
      <c r="E47" s="6"/>
      <c r="F47" s="6"/>
      <c r="G47" s="6"/>
      <c r="H47" s="6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6"/>
    </row>
    <row r="48" spans="2:21" x14ac:dyDescent="0.2">
      <c r="B48" s="2" t="s">
        <v>27</v>
      </c>
      <c r="C48" s="2"/>
      <c r="D48" s="2"/>
      <c r="E48" s="4">
        <v>45681</v>
      </c>
      <c r="F48" s="4">
        <v>45681</v>
      </c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2"/>
    </row>
    <row r="49" spans="2:21" x14ac:dyDescent="0.2">
      <c r="B49" s="115" t="s">
        <v>44</v>
      </c>
      <c r="C49" s="115" t="s">
        <v>13</v>
      </c>
      <c r="D49" s="116">
        <v>1</v>
      </c>
      <c r="E49" s="117">
        <v>45686</v>
      </c>
      <c r="F49" s="117">
        <v>45686</v>
      </c>
      <c r="G49" s="118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2"/>
    </row>
    <row r="50" spans="2:21" x14ac:dyDescent="0.2">
      <c r="B50" s="2" t="s">
        <v>29</v>
      </c>
      <c r="C50" s="2"/>
      <c r="D50" s="2"/>
      <c r="E50" s="4">
        <v>45695</v>
      </c>
      <c r="F50" s="4">
        <v>45695</v>
      </c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14">
        <v>46060</v>
      </c>
    </row>
    <row r="51" spans="2:21" x14ac:dyDescent="0.2">
      <c r="B51" s="2" t="s">
        <v>30</v>
      </c>
      <c r="C51" s="2"/>
      <c r="D51" s="2"/>
      <c r="E51" s="4">
        <v>45715</v>
      </c>
      <c r="F51" s="4">
        <v>45715</v>
      </c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14">
        <v>46080</v>
      </c>
    </row>
  </sheetData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Purpose xmlns="f577acbf-5b0b-4b4f-9948-268e97f8d3a4">Informational</Document_x0020_Purpose>
    <Initiatives xmlns="f577acbf-5b0b-4b4f-9948-268e97f8d3a4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401524DC532D42A0E0ED886331A72B" ma:contentTypeVersion="13" ma:contentTypeDescription="Create a new document." ma:contentTypeScope="" ma:versionID="d936d863d335d354da51eb78ca1ae338">
  <xsd:schema xmlns:xsd="http://www.w3.org/2001/XMLSchema" xmlns:xs="http://www.w3.org/2001/XMLSchema" xmlns:p="http://schemas.microsoft.com/office/2006/metadata/properties" xmlns:ns2="f577acbf-5b0b-4b4f-9948-268e97f8d3a4" xmlns:ns3="b1e4d6ee-9f6f-43f8-a618-24f3d84da28f" targetNamespace="http://schemas.microsoft.com/office/2006/metadata/properties" ma:root="true" ma:fieldsID="5fbac08d56b1b04aa33acbc31e882ce9" ns2:_="" ns3:_="">
    <xsd:import namespace="f577acbf-5b0b-4b4f-9948-268e97f8d3a4"/>
    <xsd:import namespace="b1e4d6ee-9f6f-43f8-a618-24f3d84da2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2:Document_x0020_Purpose" minOccurs="0"/>
                <xsd:element ref="ns2:Initiative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7acbf-5b0b-4b4f-9948-268e97f8d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ocument_x0020_Purpose" ma:index="14" nillable="true" ma:displayName="Document Purpose" ma:default="Informational" ma:format="Dropdown" ma:internalName="Document_x0020_Purpose">
      <xsd:simpleType>
        <xsd:restriction base="dms:Choice">
          <xsd:enumeration value="Informational"/>
          <xsd:enumeration value="Feature Spec"/>
          <xsd:enumeration value="Engineering Design"/>
          <xsd:enumeration value="Planning"/>
        </xsd:restriction>
      </xsd:simpleType>
    </xsd:element>
    <xsd:element name="Initiatives" ma:index="15" nillable="true" ma:displayName="Initiatives" ma:description="List of initiatives related to this document" ma:internalName="Initiative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dd-in MAU"/>
                    <xsd:enumeration value="Custom Functions"/>
                    <xsd:enumeration value="Data &amp; Analytics"/>
                    <xsd:enumeration value="DevEx: Portals &amp; Programs"/>
                    <xsd:enumeration value="DevEx: Tools &amp; Libraries"/>
                    <xsd:enumeration value="Engineering"/>
                    <xsd:enumeration value="Excel API"/>
                    <xsd:enumeration value="In-Market Support"/>
                    <xsd:enumeration value="Maker Access"/>
                    <xsd:enumeration value="SDX Runtime &amp; Partners"/>
                    <xsd:enumeration value="SDX Service Delivery"/>
                    <xsd:enumeration value="SDX API &amp; Pipeline"/>
                    <xsd:enumeration value="Shield &amp; OCE"/>
                  </xsd:restriction>
                </xsd:simple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e4d6ee-9f6f-43f8-a618-24f3d84da2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2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3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FB5453-596E-4CE8-BCCA-8DF4D5465AF4}">
  <ds:schemaRefs>
    <ds:schemaRef ds:uri="http://schemas.microsoft.com/office/2006/metadata/properties"/>
    <ds:schemaRef ds:uri="b1e4d6ee-9f6f-43f8-a618-24f3d84da28f"/>
    <ds:schemaRef ds:uri="http://purl.org/dc/terms/"/>
    <ds:schemaRef ds:uri="http://schemas.openxmlformats.org/package/2006/metadata/core-properties"/>
    <ds:schemaRef ds:uri="f577acbf-5b0b-4b4f-9948-268e97f8d3a4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F48E296-90D9-4A92-A29D-759F46DCA7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26A393-DB36-49FF-B8B1-6D5559B7AB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77acbf-5b0b-4b4f-9948-268e97f8d3a4"/>
    <ds:schemaRef ds:uri="b1e4d6ee-9f6f-43f8-a618-24f3d84da2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Project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Antonio Avendaño Sanhueza (Alumno)</cp:lastModifiedBy>
  <dcterms:created xsi:type="dcterms:W3CDTF">2018-06-07T17:34:22Z</dcterms:created>
  <dcterms:modified xsi:type="dcterms:W3CDTF">2026-02-07T20:01:55Z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0x010100CD401524DC532D42A0E0ED886331A72B</vt:lpwstr>
  </property>
  <property fmtid="{D5CDD505-2E9C-101B-9397-08002B2CF9AE}" pid="3" name="MSIP_Label_f42aa342-8706-4288-bd11-ebb85995028c_Enabled">
    <vt:lpwstr>True</vt:lpwstr>
  </property>
  <property fmtid="{D5CDD505-2E9C-101B-9397-08002B2CF9AE}" pid="4" name="MSIP_Label_f42aa342-8706-4288-bd11-ebb85995028c_SiteId">
    <vt:lpwstr>72f988bf-86f1-41af-91ab-2d7cd011db47</vt:lpwstr>
  </property>
  <property fmtid="{D5CDD505-2E9C-101B-9397-08002B2CF9AE}" pid="5" name="MSIP_Label_f42aa342-8706-4288-bd11-ebb85995028c_Owner">
    <vt:lpwstr>t-dahop@microsoft.com</vt:lpwstr>
  </property>
  <property fmtid="{D5CDD505-2E9C-101B-9397-08002B2CF9AE}" pid="6" name="MSIP_Label_f42aa342-8706-4288-bd11-ebb85995028c_SetDate">
    <vt:lpwstr>2018-06-18T14:22:57.3833839Z</vt:lpwstr>
  </property>
  <property fmtid="{D5CDD505-2E9C-101B-9397-08002B2CF9AE}" pid="7" name="MSIP_Label_f42aa342-8706-4288-bd11-ebb85995028c_Name">
    <vt:lpwstr>General</vt:lpwstr>
  </property>
  <property fmtid="{D5CDD505-2E9C-101B-9397-08002B2CF9AE}" pid="8" name="MSIP_Label_f42aa342-8706-4288-bd11-ebb85995028c_Application">
    <vt:lpwstr>Microsoft Azure Information Protection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  <property fmtid="{D5CDD505-2E9C-101B-9397-08002B2CF9AE}" pid="11" name="shortcut_file_id">
    <vt:lpwstr>2bf7cd94-5fb6-423c-a24c-911cc7ccf53c</vt:lpwstr>
  </property>
</Properties>
</file>