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20" yWindow="500" windowWidth="25380" windowHeight="17500" tabRatio="600" firstSheet="0" activeTab="0" autoFilterDateGrouping="1"/>
  </bookViews>
  <sheets>
    <sheet name="Planificación Semana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sz val="11"/>
    </font>
    <font>
      <name val="Arial"/>
      <family val="2"/>
      <b val="1"/>
      <sz val="9"/>
    </font>
    <font>
      <name val="Arial"/>
      <family val="2"/>
      <sz val="9"/>
    </font>
    <font>
      <b val="1"/>
      <color rgb="001F3864"/>
      <sz val="10"/>
    </font>
    <font>
      <b val="1"/>
      <sz val="8"/>
    </font>
    <font>
      <b val="1"/>
      <sz val="9"/>
    </font>
    <font>
      <i val="1"/>
      <color rgb="002F5496"/>
      <sz val="9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00D6DCE4"/>
        <bgColor rgb="00D6DCE4"/>
      </patternFill>
    </fill>
  </fills>
  <borders count="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right" vertical="center" wrapText="1"/>
    </xf>
    <xf numFmtId="0" fontId="3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 vertical="center"/>
    </xf>
    <xf numFmtId="0" fontId="9" fillId="0" borderId="4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top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 wrapText="1"/>
    </xf>
    <xf numFmtId="0" fontId="2" fillId="0" borderId="3" applyAlignment="1" pivotButton="0" quotePrefix="0" xfId="0">
      <alignment horizontal="left" vertical="top" wrapText="1"/>
    </xf>
    <xf numFmtId="0" fontId="0" fillId="0" borderId="1" pivotButton="0" quotePrefix="0" xfId="0"/>
    <xf numFmtId="0" fontId="0" fillId="0" borderId="2" pivotButton="0" quotePrefix="0" xfId="0"/>
    <xf numFmtId="0" fontId="8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  <a:r>
              <a:rPr lang="en-US"/>
              <a:t>Horas-Hombre por Semana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'Planificación Semanal'!$K$2</f>
              <strCache>
                <ptCount val="1"/>
                <pt idx="0">
                  <v>Total HH</v>
                </pt>
              </strCache>
            </strRef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'Planificación Semanal'!$J$3:$J$6</f>
              <strCache>
                <ptCount val="4"/>
                <pt idx="0">
                  <v>Sem 14</v>
                </pt>
                <pt idx="1">
                  <v>Sem 15</v>
                </pt>
                <pt idx="2">
                  <v>Sem 16</v>
                </pt>
                <pt idx="3">
                  <v>Sem 17</v>
                </pt>
              </strCache>
            </strRef>
          </cat>
          <val>
            <numRef>
              <f>'Planificación Semanal'!$K$3:$K$6</f>
              <numCache>
                <formatCode>General</formatCode>
                <ptCount val="4"/>
                <pt idx="0">
                  <v>10</v>
                </pt>
                <pt idx="1">
                  <v>8</v>
                </pt>
                <pt idx="2">
                  <v>8</v>
                </pt>
                <pt idx="3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735294255"/>
        <axId val="735299007"/>
      </barChart>
      <catAx>
        <axId val="73529425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CL"/>
          </a:p>
        </txPr>
        <crossAx val="735299007"/>
        <crosses val="autoZero"/>
        <auto val="1"/>
        <lblAlgn val="ctr"/>
        <lblOffset val="100"/>
        <noMultiLvlLbl val="0"/>
      </catAx>
      <valAx>
        <axId val="735299007"/>
        <scaling>
          <orientation val="minMax"/>
          <max val="20"/>
          <min val="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HH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#.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CL"/>
          </a:p>
        </txPr>
        <crossAx val="735294255"/>
        <crosses val="autoZero"/>
        <crossBetween val="between"/>
        <majorUnit val="5"/>
      </valAx>
    </plotArea>
    <plotVisOnly val="1"/>
    <dispBlanksAs val="gap"/>
  </chart>
  <spPr>
    <a:solidFill>
      <a:schemeClr val="bg1"/>
    </a:solidFill>
    <a:ln w="25400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112485</colOff>
      <row>0</row>
      <rowOff>190498</rowOff>
    </from>
    <to>
      <col>18</col>
      <colOff>39914</colOff>
      <row>13</row>
      <rowOff>27213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993"/>
  <sheetViews>
    <sheetView tabSelected="1" topLeftCell="A50" zoomScale="70" zoomScaleNormal="70" workbookViewId="0">
      <selection activeCell="O21" sqref="O21"/>
    </sheetView>
  </sheetViews>
  <sheetFormatPr baseColWidth="10" defaultColWidth="12.6640625" defaultRowHeight="15.75" customHeight="1"/>
  <cols>
    <col width="4.33203125" customWidth="1" style="25" min="2" max="2"/>
    <col width="55" customWidth="1" style="25" min="3" max="3"/>
    <col width="6" customWidth="1" style="25" min="4" max="4"/>
    <col width="50" customWidth="1" style="25" min="5" max="6"/>
    <col width="6" customWidth="1" style="25" min="7" max="7"/>
    <col width="55" customWidth="1" style="25" min="8" max="8"/>
    <col width="4.33203125" customWidth="1" style="25" min="9" max="9"/>
    <col width="15" customWidth="1" style="25" min="10" max="10"/>
    <col width="6.1640625" customWidth="1" style="25" min="11" max="11"/>
    <col width="8.1640625" customWidth="1" style="25" min="12" max="12"/>
    <col width="6.1640625" customWidth="1" style="25" min="13" max="13"/>
    <col width="6.6640625" customWidth="1" style="25" min="14" max="14"/>
  </cols>
  <sheetData>
    <row r="1" ht="15.75" customHeight="1" s="2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15.75" customHeight="1" s="25">
      <c r="A2" s="1" t="n"/>
      <c r="B2" s="21" t="inlineStr">
        <is>
          <t>Semana 14: 01 al 02 Abril</t>
        </is>
      </c>
      <c r="C2" s="22" t="n"/>
      <c r="D2" s="22" t="n"/>
      <c r="E2" s="22" t="n"/>
      <c r="F2" s="22" t="n"/>
      <c r="G2" s="22" t="n"/>
      <c r="H2" s="23" t="n"/>
      <c r="I2" s="1" t="n"/>
      <c r="J2" s="12" t="inlineStr">
        <is>
          <t>Semana</t>
        </is>
      </c>
      <c r="K2" s="12" t="inlineStr">
        <is>
          <t>Total HH</t>
        </is>
      </c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t="15.75" customHeight="1" s="25">
      <c r="A3" s="1" t="n"/>
      <c r="B3" s="4" t="inlineStr">
        <is>
          <t>Ítem</t>
        </is>
      </c>
      <c r="C3" s="4" t="inlineStr">
        <is>
          <t>Actividades Semana pasada</t>
        </is>
      </c>
      <c r="D3" s="4" t="inlineStr">
        <is>
          <t>Ítem</t>
        </is>
      </c>
      <c r="E3" s="4" t="inlineStr">
        <is>
          <t>Actividades Pendientes</t>
        </is>
      </c>
      <c r="F3" s="4" t="inlineStr">
        <is>
          <t>Motivo</t>
        </is>
      </c>
      <c r="G3" s="4" t="inlineStr">
        <is>
          <t>Ítem</t>
        </is>
      </c>
      <c r="H3" s="4" t="inlineStr">
        <is>
          <t xml:space="preserve">Actividades para esta semana </t>
        </is>
      </c>
      <c r="I3" s="1" t="n"/>
      <c r="J3" s="13" t="inlineStr">
        <is>
          <t>Sem 14</t>
        </is>
      </c>
      <c r="K3" s="13">
        <f>C8</f>
        <v/>
      </c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t="60" customHeight="1" s="25">
      <c r="A4" s="1" t="n"/>
      <c r="B4" s="5" t="n">
        <v>1</v>
      </c>
      <c r="C4" s="14" t="inlineStr">
        <is>
          <t>Investigación arquitectónica: Análisis de viabilidad de FreeRTOS en STM32F446RE vs. migración de hardware para adquisición concurrente. [6 HH]</t>
        </is>
      </c>
      <c r="D4" s="5" t="n">
        <v>1</v>
      </c>
      <c r="E4" s="5" t="inlineStr">
        <is>
          <t>Implementación inicial de FreeRTOS.</t>
        </is>
      </c>
      <c r="F4" s="5" t="inlineStr">
        <is>
          <t>Retraso por priorización de la fase de planificación y estructuración documental.</t>
        </is>
      </c>
      <c r="G4" s="5" t="n">
        <v>1</v>
      </c>
      <c r="H4" s="5" t="inlineStr">
        <is>
          <t>Levantar entorno de compilación e iniciar pruebas de RTOS.</t>
        </is>
      </c>
      <c r="I4" s="1" t="n"/>
      <c r="J4" s="13" t="inlineStr">
        <is>
          <t>Sem 15</t>
        </is>
      </c>
      <c r="K4" s="13">
        <f>C15</f>
        <v/>
      </c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t="60" customHeight="1" s="25">
      <c r="A5" s="1" t="n"/>
      <c r="B5" s="5" t="n">
        <v>2</v>
      </c>
      <c r="C5" s="14" t="inlineStr">
        <is>
          <t>Planificación de proyecto: Definición de hitos técnicos (DMA, IWDG) y estructuración del roadmap para el diseño de PCB obligatorio. [3 HH]</t>
        </is>
      </c>
      <c r="D5" s="5" t="n">
        <v>2</v>
      </c>
      <c r="E5" s="5" t="n"/>
      <c r="F5" s="5" t="n"/>
      <c r="G5" s="5" t="n">
        <v>2</v>
      </c>
      <c r="H5" s="5" t="n"/>
      <c r="I5" s="1" t="n"/>
      <c r="J5" s="13" t="inlineStr">
        <is>
          <t>Sem 16</t>
        </is>
      </c>
      <c r="K5" s="13">
        <f>C22</f>
        <v/>
      </c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60" customHeight="1" s="25">
      <c r="A6" s="1" t="n"/>
      <c r="B6" s="5" t="n">
        <v>3</v>
      </c>
      <c r="C6" s="14" t="inlineStr">
        <is>
          <t>Despliegue de infraestructura: Configuración, configuración de puertos y pruebas de estabilidad del entorno de desarrollo remoto. [1 HH]</t>
        </is>
      </c>
      <c r="D6" s="5" t="n">
        <v>3</v>
      </c>
      <c r="E6" s="5" t="n"/>
      <c r="F6" s="5" t="n"/>
      <c r="G6" s="5" t="n">
        <v>3</v>
      </c>
      <c r="H6" s="5" t="n"/>
      <c r="I6" s="1" t="n"/>
      <c r="J6" s="13" t="inlineStr">
        <is>
          <t>Sem 17</t>
        </is>
      </c>
      <c r="K6" s="13">
        <f>C29</f>
        <v/>
      </c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5.75" customHeight="1" s="25">
      <c r="A7" s="1" t="n"/>
      <c r="B7" s="5" t="n">
        <v>4</v>
      </c>
      <c r="C7" s="6" t="n"/>
      <c r="D7" s="5" t="n">
        <v>4</v>
      </c>
      <c r="E7" s="5" t="n"/>
      <c r="F7" s="5" t="n"/>
      <c r="G7" s="5" t="n">
        <v>4</v>
      </c>
      <c r="H7" s="5" t="n"/>
      <c r="I7" s="1" t="n"/>
      <c r="J7" s="15" t="inlineStr">
        <is>
          <t>Sem 18</t>
        </is>
      </c>
      <c r="K7" s="15">
        <f>C36</f>
        <v/>
      </c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5.75" customHeight="1" s="25">
      <c r="A8" s="1" t="n"/>
      <c r="B8" s="10" t="inlineStr">
        <is>
          <t>Total HH:</t>
        </is>
      </c>
      <c r="C8" s="11">
        <f t="array" ref="C8">SUMPRODUCT(IFERROR(VALUE(MID(C4:C7,FIND("[",C4:C7)+1,FIND(" HH]",C4:C7)-FIND("[",C4:C7)-1)),0))</f>
        <v/>
      </c>
      <c r="D8" s="7" t="n"/>
      <c r="E8" s="7" t="n"/>
      <c r="F8" s="7" t="n"/>
      <c r="G8" s="7" t="n"/>
      <c r="H8" s="7" t="n"/>
      <c r="I8" s="1" t="n"/>
      <c r="J8" s="15" t="inlineStr">
        <is>
          <t>Sem 19</t>
        </is>
      </c>
      <c r="K8" s="15">
        <f>C43</f>
        <v/>
      </c>
      <c r="L8" s="26" t="n"/>
      <c r="M8" s="26" t="n"/>
      <c r="N8" s="26" t="n"/>
      <c r="O8" s="3" t="n"/>
      <c r="P8" s="26" t="n"/>
      <c r="U8" s="26" t="n"/>
      <c r="V8" s="3" t="n"/>
      <c r="W8" s="26" t="n"/>
      <c r="AB8" s="1" t="n"/>
    </row>
    <row r="9" ht="15.75" customHeight="1" s="25">
      <c r="A9" s="1" t="n"/>
      <c r="B9" s="21" t="inlineStr">
        <is>
          <t>Semana 15: 06 al 10 Abril</t>
        </is>
      </c>
      <c r="C9" s="22" t="n"/>
      <c r="D9" s="22" t="n"/>
      <c r="E9" s="22" t="n"/>
      <c r="F9" s="22" t="n"/>
      <c r="G9" s="22" t="n"/>
      <c r="H9" s="23" t="n"/>
      <c r="I9" s="1" t="n"/>
      <c r="J9" s="15" t="inlineStr">
        <is>
          <t>Sem 20</t>
        </is>
      </c>
      <c r="K9" s="15">
        <f>C50</f>
        <v/>
      </c>
      <c r="L9" s="26" t="n"/>
      <c r="M9" s="26" t="n"/>
      <c r="N9" s="26" t="n"/>
      <c r="O9" s="3" t="n"/>
      <c r="P9" s="26" t="n"/>
      <c r="U9" s="26" t="n"/>
      <c r="V9" s="3" t="n"/>
      <c r="W9" s="26" t="n"/>
      <c r="AB9" s="1" t="n"/>
    </row>
    <row r="10" ht="15.75" customHeight="1" s="25">
      <c r="A10" s="1" t="n"/>
      <c r="B10" s="4" t="inlineStr">
        <is>
          <t>Ítem</t>
        </is>
      </c>
      <c r="C10" s="4" t="inlineStr">
        <is>
          <t>Actividades Semana pasada</t>
        </is>
      </c>
      <c r="D10" s="4" t="inlineStr">
        <is>
          <t>Ítem</t>
        </is>
      </c>
      <c r="E10" s="4" t="inlineStr">
        <is>
          <t>Actividades Pendientes</t>
        </is>
      </c>
      <c r="F10" s="4" t="inlineStr">
        <is>
          <t>Motivo</t>
        </is>
      </c>
      <c r="G10" s="4" t="inlineStr">
        <is>
          <t>Ítem</t>
        </is>
      </c>
      <c r="H10" s="4" t="inlineStr">
        <is>
          <t xml:space="preserve">Actividades para esta semana </t>
        </is>
      </c>
      <c r="I10" s="1" t="n"/>
      <c r="J10" s="15" t="inlineStr">
        <is>
          <t>Sem 21</t>
        </is>
      </c>
      <c r="K10" s="15">
        <f>C57</f>
        <v/>
      </c>
      <c r="L10" s="26" t="n"/>
      <c r="M10" s="26" t="n"/>
      <c r="N10" s="26" t="n"/>
      <c r="O10" s="3" t="n"/>
      <c r="P10" s="26" t="n"/>
      <c r="U10" s="26" t="n"/>
      <c r="V10" s="3" t="n"/>
      <c r="W10" s="26" t="n"/>
      <c r="AB10" s="1" t="n"/>
    </row>
    <row r="11" ht="60" customHeight="1" s="25">
      <c r="A11" s="1" t="n"/>
      <c r="B11" s="5" t="n">
        <v>1</v>
      </c>
      <c r="C11" s="14" t="inlineStr">
        <is>
          <t>Diagnóstico de software: Análisis de logs de OpenOCD y ST-LINK GDB Server (Timeouts) para descartar fallos de IDE, red o firewall. [6 HH]</t>
        </is>
      </c>
      <c r="D11" s="5" t="n">
        <v>1</v>
      </c>
      <c r="E11" s="5" t="inlineStr">
        <is>
          <t>Implementación de CMSIS v2.x.</t>
        </is>
      </c>
      <c r="F11" s="5" t="inlineStr">
        <is>
          <t>Bloqueo total por falla eléctrica física en el hardware (MCU desenergizado).</t>
        </is>
      </c>
      <c r="G11" s="5" t="n">
        <v>1</v>
      </c>
      <c r="H11" s="8" t="inlineStr">
        <is>
          <t>Validar estabilidad de hardware post-arreglo e iniciar migración a CMSIS v2.x. Viernes, reunión de avance: FR, RA, SA, AA, JM.</t>
        </is>
      </c>
      <c r="I11" s="1" t="n"/>
      <c r="J11" s="15" t="inlineStr">
        <is>
          <t>Sem 22</t>
        </is>
      </c>
      <c r="K11" s="15">
        <f>C64</f>
        <v/>
      </c>
      <c r="L11" s="26" t="n"/>
      <c r="M11" s="26" t="n"/>
      <c r="N11" s="26" t="n"/>
      <c r="O11" s="3" t="n"/>
      <c r="P11" s="26" t="n"/>
      <c r="U11" s="26" t="n"/>
      <c r="V11" s="3" t="n"/>
      <c r="W11" s="26" t="n"/>
      <c r="AB11" s="1" t="n"/>
    </row>
    <row r="12" ht="60" customHeight="1" s="25">
      <c r="A12" s="1" t="n"/>
      <c r="B12" s="5" t="n">
        <v>2</v>
      </c>
      <c r="C12" s="14" t="inlineStr">
        <is>
          <t>Inspección eléctrica física: Medición de continuidad y caída de tensión en pines VDD/GND del MCU (detección de estado inoperativo a 0.08V). [0.5 HH]</t>
        </is>
      </c>
      <c r="D12" s="5" t="n">
        <v>2</v>
      </c>
      <c r="E12" s="5" t="n"/>
      <c r="F12" s="5" t="n"/>
      <c r="G12" s="5" t="n">
        <v>2</v>
      </c>
      <c r="H12" s="5" t="n"/>
      <c r="I12" s="1" t="n"/>
      <c r="J12" s="1" t="n"/>
      <c r="K12" s="26" t="n"/>
      <c r="L12" s="26" t="n"/>
      <c r="M12" s="26" t="n"/>
      <c r="N12" s="26" t="n"/>
      <c r="O12" s="3" t="n"/>
      <c r="P12" s="26" t="n"/>
      <c r="U12" s="26" t="n"/>
      <c r="V12" s="3" t="n"/>
      <c r="W12" s="26" t="n"/>
      <c r="AB12" s="1" t="n"/>
    </row>
    <row r="13" ht="15.75" customHeight="1" s="25">
      <c r="A13" s="1" t="n"/>
      <c r="B13" s="5" t="n">
        <v>3</v>
      </c>
      <c r="C13" s="14" t="inlineStr">
        <is>
          <t>Análisis de esquemáticos: Revisión de documentación técnica de la placa Nucleo para aislamiento de falla y reubicación del jumper de poder. [2 HH]</t>
        </is>
      </c>
      <c r="D13" s="5" t="n">
        <v>3</v>
      </c>
      <c r="E13" s="5" t="n"/>
      <c r="F13" s="5" t="n"/>
      <c r="G13" s="5" t="n">
        <v>3</v>
      </c>
      <c r="H13" s="5" t="n"/>
      <c r="I13" s="1" t="n"/>
      <c r="J13" s="1" t="n"/>
      <c r="K13" s="26" t="n"/>
      <c r="L13" s="26" t="n"/>
      <c r="M13" s="26" t="n"/>
      <c r="N13" s="26" t="n"/>
      <c r="O13" s="3" t="n"/>
      <c r="P13" s="26" t="n"/>
      <c r="U13" s="26" t="n"/>
      <c r="V13" s="3" t="n"/>
      <c r="W13" s="26" t="n"/>
      <c r="AB13" s="1" t="n"/>
    </row>
    <row r="14" ht="15.75" customHeight="1" s="25">
      <c r="A14" s="1" t="n"/>
      <c r="B14" s="5" t="n">
        <v>4</v>
      </c>
      <c r="C14" s="6" t="n"/>
      <c r="D14" s="5" t="n">
        <v>4</v>
      </c>
      <c r="E14" s="5" t="n"/>
      <c r="F14" s="5" t="n"/>
      <c r="G14" s="5" t="n">
        <v>4</v>
      </c>
      <c r="H14" s="5" t="n"/>
      <c r="I14" s="1" t="n"/>
      <c r="J14" s="1" t="n"/>
      <c r="K14" s="26" t="n"/>
      <c r="L14" s="26" t="n"/>
      <c r="M14" s="26" t="n"/>
      <c r="N14" s="26" t="n"/>
      <c r="O14" s="3" t="n"/>
      <c r="P14" s="26" t="n"/>
      <c r="U14" s="26" t="n"/>
      <c r="V14" s="3" t="n"/>
      <c r="W14" s="26" t="n"/>
      <c r="AB14" s="1" t="n"/>
    </row>
    <row r="15" ht="15.75" customHeight="1" s="25">
      <c r="A15" s="1" t="n"/>
      <c r="B15" s="10" t="inlineStr">
        <is>
          <t>Total HH:</t>
        </is>
      </c>
      <c r="C15" s="11">
        <f t="array" ref="C15">SUMPRODUCT(IFERROR(VALUE(MID(C11:C14,FIND("[",C11:C14)+1,FIND(" HH]",C11:C14)-FIND("[",C11:C14)-1)),0))</f>
        <v/>
      </c>
      <c r="D15" s="7" t="n"/>
      <c r="E15" s="7" t="n"/>
      <c r="F15" s="7" t="n"/>
      <c r="G15" s="7" t="n"/>
      <c r="H15" s="7" t="n"/>
      <c r="I15" s="1" t="n"/>
      <c r="J15" s="1" t="n"/>
      <c r="K15" s="26" t="n"/>
      <c r="L15" s="26" t="n"/>
      <c r="M15" s="26" t="n"/>
      <c r="N15" s="26" t="n"/>
      <c r="O15" s="3" t="n"/>
      <c r="P15" s="26" t="n"/>
      <c r="U15" s="26" t="n"/>
      <c r="V15" s="3" t="n"/>
      <c r="W15" s="26" t="n"/>
      <c r="AB15" s="1" t="n"/>
    </row>
    <row r="16" ht="15.75" customHeight="1" s="25">
      <c r="A16" s="1" t="n"/>
      <c r="B16" s="21" t="inlineStr">
        <is>
          <t>Semana 16: 13 al 17 Abril</t>
        </is>
      </c>
      <c r="C16" s="22" t="n"/>
      <c r="D16" s="22" t="n"/>
      <c r="E16" s="22" t="n"/>
      <c r="F16" s="22" t="n"/>
      <c r="G16" s="22" t="n"/>
      <c r="H16" s="23" t="n"/>
      <c r="I16" s="1" t="n"/>
      <c r="J16" s="1" t="n"/>
      <c r="K16" s="26" t="n"/>
      <c r="L16" s="26" t="n"/>
      <c r="M16" s="26" t="n"/>
      <c r="N16" s="26" t="n"/>
      <c r="O16" s="3" t="n"/>
      <c r="P16" s="26" t="n"/>
      <c r="U16" s="26" t="n"/>
      <c r="V16" s="3" t="n"/>
      <c r="W16" s="26" t="n"/>
      <c r="AB16" s="1" t="n"/>
    </row>
    <row r="17" ht="15.75" customHeight="1" s="25">
      <c r="A17" s="1" t="n"/>
      <c r="B17" s="4" t="inlineStr">
        <is>
          <t>Ítem</t>
        </is>
      </c>
      <c r="C17" s="4" t="inlineStr">
        <is>
          <t>Actividades Semana pasada</t>
        </is>
      </c>
      <c r="D17" s="4" t="inlineStr">
        <is>
          <t>Ítem</t>
        </is>
      </c>
      <c r="E17" s="4" t="inlineStr">
        <is>
          <t>Actividades Pendientes</t>
        </is>
      </c>
      <c r="F17" s="4" t="inlineStr">
        <is>
          <t>Motivo</t>
        </is>
      </c>
      <c r="G17" s="4" t="inlineStr">
        <is>
          <t>Ítem</t>
        </is>
      </c>
      <c r="H17" s="4" t="inlineStr">
        <is>
          <t xml:space="preserve">Actividades para esta semana 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t="60" customHeight="1" s="25">
      <c r="A18" s="1" t="n"/>
      <c r="B18" s="5" t="n">
        <v>1</v>
      </c>
      <c r="C18" s="6" t="inlineStr">
        <is>
          <t>Control de calidad (QA): Recompilación del firmware bare-metal y validación operativa en consola serial post-reparación. [3 HH]</t>
        </is>
      </c>
      <c r="D18" s="5" t="n">
        <v>1</v>
      </c>
      <c r="E18" s="5" t="inlineStr">
        <is>
          <t>Codificación de tareas de sensor y módem en C.</t>
        </is>
      </c>
      <c r="F18" s="5" t="inlineStr">
        <is>
          <t>Tiempo asignado íntegramente a la estructuración de la documentación y arquitectura técnica previa a la codificación.</t>
        </is>
      </c>
      <c r="G18" s="5" t="n">
        <v>1</v>
      </c>
      <c r="H18" s="5" t="inlineStr">
        <is>
          <t>Configurar STM32CubeMX (TIM1, prioridades) y programar esqueletos de tareas.</t>
        </is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t="60" customHeight="1" s="25">
      <c r="A19" s="1" t="n"/>
      <c r="B19" s="5" t="n">
        <v>2</v>
      </c>
      <c r="C19" s="6" t="inlineStr">
        <is>
          <t>Capacitación técnica: Estudio de la API CMSIS-RTOS v2 y análisis de implementaciones de referencia para la familia STM32F4. [5 HH]</t>
        </is>
      </c>
      <c r="D19" s="5" t="n">
        <v>2</v>
      </c>
      <c r="E19" s="5" t="n"/>
      <c r="F19" s="5" t="n"/>
      <c r="G19" s="5" t="n">
        <v>2</v>
      </c>
      <c r="H19" s="5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t="15.75" customHeight="1" s="25">
      <c r="A20" s="1" t="n"/>
      <c r="B20" s="5" t="n">
        <v>3</v>
      </c>
      <c r="C20" s="14" t="inlineStr">
        <is>
          <t>Arquitectura de software: Diseño de estados de tareas, primitivas de sincronización y redacción de la documentación de migración (.md). [2.5 HH]</t>
        </is>
      </c>
      <c r="D20" s="5" t="n">
        <v>3</v>
      </c>
      <c r="E20" s="5" t="n"/>
      <c r="F20" s="5" t="n"/>
      <c r="G20" s="5" t="n">
        <v>3</v>
      </c>
      <c r="H20" s="5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t="15.75" customHeight="1" s="25">
      <c r="A21" s="1" t="n"/>
      <c r="B21" s="5" t="n">
        <v>4</v>
      </c>
      <c r="C21" s="6" t="n"/>
      <c r="D21" s="5" t="n">
        <v>4</v>
      </c>
      <c r="E21" s="5" t="n"/>
      <c r="F21" s="5" t="n"/>
      <c r="G21" s="5" t="n">
        <v>4</v>
      </c>
      <c r="H21" s="5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t="15.75" customHeight="1" s="25">
      <c r="A22" s="1" t="n"/>
      <c r="B22" s="10" t="inlineStr">
        <is>
          <t>Total HH:</t>
        </is>
      </c>
      <c r="C22" s="9">
        <f t="array" ref="C22">SUMPRODUCT(IFERROR(VALUE(MID(C18:C21,FIND("[",C18:C21)+1,FIND(" HH]",C18:C21)-FIND("[",C18:C21)-1)),0))</f>
        <v/>
      </c>
      <c r="D22" s="7" t="n"/>
      <c r="E22" s="7" t="n"/>
      <c r="F22" s="7" t="n"/>
      <c r="G22" s="7" t="n"/>
      <c r="H22" s="7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t="15.75" customHeight="1" s="25">
      <c r="A23" s="1" t="n"/>
      <c r="B23" s="21" t="inlineStr">
        <is>
          <t>Semana 17: 20 al 24 Abril</t>
        </is>
      </c>
      <c r="C23" s="22" t="n"/>
      <c r="D23" s="22" t="n"/>
      <c r="E23" s="22" t="n"/>
      <c r="F23" s="22" t="n"/>
      <c r="G23" s="22" t="n"/>
      <c r="H23" s="2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t="15.75" customHeight="1" s="25">
      <c r="A24" s="1" t="n"/>
      <c r="B24" s="4" t="inlineStr">
        <is>
          <t>Ítem</t>
        </is>
      </c>
      <c r="C24" s="4" t="inlineStr">
        <is>
          <t>Actividades Semana pasada</t>
        </is>
      </c>
      <c r="D24" s="4" t="inlineStr">
        <is>
          <t>Ítem</t>
        </is>
      </c>
      <c r="E24" s="4" t="inlineStr">
        <is>
          <t>Actividades Pendientes</t>
        </is>
      </c>
      <c r="F24" s="4" t="inlineStr">
        <is>
          <t>Motivo</t>
        </is>
      </c>
      <c r="G24" s="4" t="inlineStr">
        <is>
          <t>Ítem</t>
        </is>
      </c>
      <c r="H24" s="4" t="inlineStr">
        <is>
          <t xml:space="preserve">Actividades para esta semana 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t="60" customHeight="1" s="25">
      <c r="A25" s="1" t="n"/>
      <c r="B25" s="5" t="n">
        <v>1</v>
      </c>
      <c r="C25" s="14" t="inlineStr">
        <is>
          <t>Configuración de entorno: Migración de base de tiempo a TIM1, activación de middleware FreeRTOS en CubeMX y generación de árbol de código. [1 HH]</t>
        </is>
      </c>
      <c r="D25" s="5" t="n">
        <v>1</v>
      </c>
      <c r="E25" s="5" t="inlineStr">
        <is>
          <t>Integración de NVIC y refactorización de interrupción Wake-on-Motion.</t>
        </is>
      </c>
      <c r="F25" s="5" t="inlineStr">
        <is>
          <t>Programado para la fase final del ciclo actual tras consolidar la estructura del kernel.</t>
        </is>
      </c>
      <c r="G25" s="5" t="n">
        <v>1</v>
      </c>
      <c r="H25" s="8" t="inlineStr">
        <is>
          <t>Finalizar lógica de interrupciones, resolver errores de compilación y ejecutar RTOS en la placa. Viernes, reunión de avance: FR, RA, SA, AA, JM.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t="60" customHeight="1" s="25">
      <c r="A26" s="1" t="n"/>
      <c r="B26" s="5" t="n">
        <v>2</v>
      </c>
      <c r="C26" s="14" t="inlineStr">
        <is>
          <t>Inicialización RTOS: Desarrollo de rtos_init.c y definición de objetos de concurrencia (mutex, banderas de eventos, colas de mensajes). [1 HH]</t>
        </is>
      </c>
      <c r="D26" s="5" t="n">
        <v>2</v>
      </c>
      <c r="E26" s="5" t="inlineStr">
        <is>
          <t>Pruebas de compilación y ejecución del RTOS en hardware.</t>
        </is>
      </c>
      <c r="F26" s="5" t="inlineStr">
        <is>
          <t>Bloqueado a la espera de la finalización de la integración de interrupciones (NVIC).</t>
        </is>
      </c>
      <c r="G26" s="5" t="n">
        <v>2</v>
      </c>
      <c r="H26" s="5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t="15.75" customHeight="1" s="25">
      <c r="A27" s="1" t="n"/>
      <c r="B27" s="5" t="n">
        <v>3</v>
      </c>
      <c r="C27" s="14" t="inlineStr">
        <is>
          <t>Estructuración de tareas: Creación de stubs para tareas principales y cálculo de asignación de memoria de pila (Stack/Heap). [1 HH]</t>
        </is>
      </c>
      <c r="D27" s="5" t="n">
        <v>3</v>
      </c>
      <c r="E27" s="5" t="n"/>
      <c r="F27" s="5" t="n"/>
      <c r="G27" s="5" t="n">
        <v>3</v>
      </c>
      <c r="H27" s="5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t="15.75" customHeight="1" s="25">
      <c r="A28" s="1" t="n"/>
      <c r="B28" s="5" t="n">
        <v>4</v>
      </c>
      <c r="C28" s="6" t="n"/>
      <c r="D28" s="5" t="n">
        <v>4</v>
      </c>
      <c r="E28" s="5" t="n"/>
      <c r="F28" s="5" t="n"/>
      <c r="G28" s="5" t="n">
        <v>4</v>
      </c>
      <c r="H28" s="5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t="15.75" customHeight="1" s="25">
      <c r="A29" s="1" t="n"/>
      <c r="B29" s="10" t="inlineStr">
        <is>
          <t>Total HH:</t>
        </is>
      </c>
      <c r="C29" s="9">
        <f t="array" ref="C29">SUMPRODUCT(IFERROR(VALUE(MID(C25:C28,FIND("[",C25:C28)+1,FIND(" HH]",C25:C28)-FIND("[",C25:C28)-1)),0))</f>
        <v/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t="15.75" customHeight="1" s="25">
      <c r="A30" s="1" t="n"/>
      <c r="B30" s="24" t="inlineStr">
        <is>
          <t>Semana 18: 27 Abr al 01 May</t>
        </is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t="15.75" customHeight="1" s="25">
      <c r="A31" s="1" t="n"/>
      <c r="B31" s="16" t="inlineStr">
        <is>
          <t>Ítem</t>
        </is>
      </c>
      <c r="C31" s="16" t="inlineStr">
        <is>
          <t>Actividades Semana pasada</t>
        </is>
      </c>
      <c r="D31" s="16" t="inlineStr">
        <is>
          <t>Ítem</t>
        </is>
      </c>
      <c r="E31" s="16" t="inlineStr">
        <is>
          <t>Actividades Pendientes</t>
        </is>
      </c>
      <c r="F31" s="16" t="inlineStr">
        <is>
          <t>Motivo</t>
        </is>
      </c>
      <c r="G31" s="16" t="inlineStr">
        <is>
          <t>Ítem</t>
        </is>
      </c>
      <c r="H31" s="16" t="inlineStr">
        <is>
          <t>Actividades para esta semana</t>
        </is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t="60" customHeight="1" s="25">
      <c r="A32" s="1" t="n"/>
      <c r="B32" s="17" t="inlineStr">
        <is>
          <t>1</t>
        </is>
      </c>
      <c r="C32" s="18" t="inlineStr">
        <is>
          <t>Migración CMSIS-RTOS v2: Estudio de la API CMSIS-RTOS v2 y análisis de implementaciones de referencia para la familia STM32F4. Revisión de documentación técnica de FreeRTOS en STM32F446RE. [3 HH]</t>
        </is>
      </c>
      <c r="D32" s="17" t="inlineStr">
        <is>
          <t>1</t>
        </is>
      </c>
      <c r="E32" s="18" t="inlineStr">
        <is>
          <t>Configuración de STM32CubeMX con middleware FreeRTOS.</t>
        </is>
      </c>
      <c r="F32" s="18" t="inlineStr">
        <is>
          <t>Planificado para inicio de la siguiente semana de desarrollo.</t>
        </is>
      </c>
      <c r="G32" s="17" t="inlineStr">
        <is>
          <t>1</t>
        </is>
      </c>
      <c r="H32" s="18" t="inlineStr">
        <is>
          <t>Configurar STM32CubeMX (TIM1, USART1/2, SPI1/2, FreeRTOS) y generar proyecto base.</t>
        </is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t="60" customHeight="1" s="25">
      <c r="A33" s="1" t="n"/>
      <c r="B33" s="17" t="inlineStr">
        <is>
          <t>2</t>
        </is>
      </c>
      <c r="C33" s="18" t="inlineStr">
        <is>
          <t>Arquitectura de software: Diseño de estados de tareas (sensor, file, modem, control), definición de primitivas de sincronización (event flags, message queues, mutex) y redacción de documentación de migración. [3 HH]</t>
        </is>
      </c>
      <c r="D33" s="17" t="inlineStr">
        <is>
          <t>2</t>
        </is>
      </c>
      <c r="E33" s="18" t="inlineStr">
        <is>
          <t>Integración de drivers periféricos (SPI, USART, ADXL355, SD).</t>
        </is>
      </c>
      <c r="F33" s="18" t="inlineStr">
        <is>
          <t>Depende de la generación del árbol de código desde CubeMX.</t>
        </is>
      </c>
      <c r="G33" s="17" t="inlineStr">
        <is>
          <t>2</t>
        </is>
      </c>
      <c r="H33" s="18" t="inlineStr">
        <is>
          <t>Integrar drivers periféricos y probar compilación inicial.</t>
        </is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t="60" customHeight="1" s="25">
      <c r="A34" s="1" t="n"/>
      <c r="B34" s="17" t="inlineStr">
        <is>
          <t>3</t>
        </is>
      </c>
      <c r="C34" s="18" t="inlineStr">
        <is>
          <t>Preparación del entorno de desarrollo: Verificación de toolchain ARM GCC, OpenOCD y scripts de flasheo. Configuración inicial de plantilla de proyecto CMSIS. [2 HH]</t>
        </is>
      </c>
      <c r="D34" s="17" t="inlineStr">
        <is>
          <t>3</t>
        </is>
      </c>
      <c r="E34" s="18" t="inlineStr">
        <is>
          <t>Implementación de tareas RTOS con primitivas de sincronización.</t>
        </is>
      </c>
      <c r="F34" s="18" t="n"/>
      <c r="G34" s="17" t="inlineStr">
        <is>
          <t>3</t>
        </is>
      </c>
      <c r="H34" s="18" t="inlineStr">
        <is>
          <t>Crear estructura de tareas y esqueletos RTOS.</t>
        </is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t="60" customHeight="1" s="25">
      <c r="A35" s="1" t="n"/>
      <c r="B35" s="17" t="inlineStr">
        <is>
          <t>4</t>
        </is>
      </c>
      <c r="C35" s="18" t="n"/>
      <c r="D35" s="17" t="inlineStr">
        <is>
          <t>4</t>
        </is>
      </c>
      <c r="E35" s="18" t="n"/>
      <c r="F35" s="18" t="n"/>
      <c r="G35" s="17" t="inlineStr">
        <is>
          <t>4</t>
        </is>
      </c>
      <c r="H35" s="18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t="15.75" customHeight="1" s="25">
      <c r="A36" s="1" t="n"/>
      <c r="B36" s="19" t="inlineStr">
        <is>
          <t>Total HH:</t>
        </is>
      </c>
      <c r="C36" s="20">
        <f t="array" ref="C36">SUMPRODUCT(IFERROR(VALUE(MID(C32:C35,FIND("[",C32:C35)+1,FIND(" HH]",C32:C35)-FIND("[",C32:C35)-1)),0))</f>
        <v/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t="15.75" customHeight="1" s="25">
      <c r="A37" s="1" t="n"/>
      <c r="B37" s="24" t="inlineStr">
        <is>
          <t>Semana 19: 04 al 08 May</t>
        </is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t="15.75" customHeight="1" s="25">
      <c r="A38" s="1" t="n"/>
      <c r="B38" s="16" t="inlineStr">
        <is>
          <t>Ítem</t>
        </is>
      </c>
      <c r="C38" s="16" t="inlineStr">
        <is>
          <t>Actividades Semana pasada</t>
        </is>
      </c>
      <c r="D38" s="16" t="inlineStr">
        <is>
          <t>Ítem</t>
        </is>
      </c>
      <c r="E38" s="16" t="inlineStr">
        <is>
          <t>Actividades Pendientes</t>
        </is>
      </c>
      <c r="F38" s="16" t="inlineStr">
        <is>
          <t>Motivo</t>
        </is>
      </c>
      <c r="G38" s="16" t="inlineStr">
        <is>
          <t>Ítem</t>
        </is>
      </c>
      <c r="H38" s="16" t="inlineStr">
        <is>
          <t>Actividades para esta semana</t>
        </is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t="60" customHeight="1" s="25">
      <c r="A39" s="1" t="n"/>
      <c r="B39" s="17" t="inlineStr">
        <is>
          <t>1</t>
        </is>
      </c>
      <c r="C39" s="18" t="inlineStr">
        <is>
          <t>Configuración de STM32CubeMX: Generación del proyecto HERMES-A1-CMSIS con FreeRTOS middleware, TIM1 (timebase), USART1/2 (CLI, módem), SPI1/2 (ADXL355, SD). [3 HH]</t>
        </is>
      </c>
      <c r="D39" s="17" t="inlineStr">
        <is>
          <t>1</t>
        </is>
      </c>
      <c r="E39" s="18" t="inlineStr">
        <is>
          <t>Implementación de algoritmos de adquisición y procesamiento.</t>
        </is>
      </c>
      <c r="F39" s="18" t="inlineStr">
        <is>
          <t>Algoritmos planificados para la siguiente fase del desarrollo.</t>
        </is>
      </c>
      <c r="G39" s="17" t="inlineStr">
        <is>
          <t>1</t>
        </is>
      </c>
      <c r="H39" s="18" t="inlineStr">
        <is>
          <t>Desarrollar algoritmos de adquisición: sensor_algo (FIFO, triggering).</t>
        </is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t="60" customHeight="1" s="25">
      <c r="A40" s="1" t="n"/>
      <c r="B40" s="17" t="inlineStr">
        <is>
          <t>2</t>
        </is>
      </c>
      <c r="C40" s="18" t="inlineStr">
        <is>
          <t>Integración de drivers periféricos: Port de los drivers SPI, GPIO, USART, ADXL355 y SD_SPI desde el firmware bare-metal original al nuevo proyecto CMSIS. Ajuste de HAL y BSP. [4 HH]</t>
        </is>
      </c>
      <c r="D40" s="17" t="inlineStr">
        <is>
          <t>2</t>
        </is>
      </c>
      <c r="E40" s="18" t="inlineStr">
        <is>
          <t>Desarrollo de tareas RTOS con comunicación entre tareas.</t>
        </is>
      </c>
      <c r="F40" s="18" t="inlineStr">
        <is>
          <t>Requiere definición completa de la interfaz entre tareas.</t>
        </is>
      </c>
      <c r="G40" s="17" t="inlineStr">
        <is>
          <t>2</t>
        </is>
      </c>
      <c r="H40" s="18" t="inlineStr">
        <is>
          <t>Desarrollar utilidades: cli_algo (parser de comandos), csv_algo (buffer circular).</t>
        </is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t="60" customHeight="1" s="25">
      <c r="A41" s="1" t="n"/>
      <c r="B41" s="17" t="inlineStr">
        <is>
          <t>3</t>
        </is>
      </c>
      <c r="C41" s="18" t="inlineStr">
        <is>
          <t>Configuración del build system: Makefile ARM GCC con reglas de compilación, enlace y generación de binarios. Script generate_compile_commands.py para LSP. Primer build de prueba. [2 HH]</t>
        </is>
      </c>
      <c r="D41" s="17" t="inlineStr">
        <is>
          <t>3</t>
        </is>
      </c>
      <c r="E41" s="18" t="inlineStr">
        <is>
          <t>Pruebas de compilación y debugging de símbolos.</t>
        </is>
      </c>
      <c r="F41" s="18" t="n"/>
      <c r="G41" s="17" t="inlineStr">
        <is>
          <t>3</t>
        </is>
      </c>
      <c r="H41" s="18" t="inlineStr">
        <is>
          <t>Documentar arquitectura y progreso (Actividades Pendientes PDF, Ruta de Desarrollo PDF).</t>
        </is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t="60" customHeight="1" s="25">
      <c r="A42" s="1" t="n"/>
      <c r="B42" s="17" t="inlineStr">
        <is>
          <t>4</t>
        </is>
      </c>
      <c r="C42" s="18" t="n"/>
      <c r="D42" s="17" t="inlineStr">
        <is>
          <t>4</t>
        </is>
      </c>
      <c r="E42" s="18" t="n"/>
      <c r="F42" s="18" t="n"/>
      <c r="G42" s="17" t="inlineStr">
        <is>
          <t>4</t>
        </is>
      </c>
      <c r="H42" s="18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t="15.75" customHeight="1" s="25">
      <c r="A43" s="1" t="n"/>
      <c r="B43" s="19" t="inlineStr">
        <is>
          <t>Total HH:</t>
        </is>
      </c>
      <c r="C43" s="20">
        <f t="array" ref="C43">SUMPRODUCT(IFERROR(VALUE(MID(C39:C42,FIND("[",C39:C42)+1,FIND(" HH]",C39:C42)-FIND("[",C39:C42)-1)),0))</f>
        <v/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t="15.75" customHeight="1" s="25">
      <c r="A44" s="1" t="n"/>
      <c r="B44" s="24" t="inlineStr">
        <is>
          <t>Semana 20: 11 al 15 May</t>
        </is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t="15.75" customHeight="1" s="25">
      <c r="A45" s="1" t="n"/>
      <c r="B45" s="16" t="inlineStr">
        <is>
          <t>Ítem</t>
        </is>
      </c>
      <c r="C45" s="16" t="inlineStr">
        <is>
          <t>Actividades Semana pasada</t>
        </is>
      </c>
      <c r="D45" s="16" t="inlineStr">
        <is>
          <t>Ítem</t>
        </is>
      </c>
      <c r="E45" s="16" t="inlineStr">
        <is>
          <t>Actividades Pendientes</t>
        </is>
      </c>
      <c r="F45" s="16" t="inlineStr">
        <is>
          <t>Motivo</t>
        </is>
      </c>
      <c r="G45" s="16" t="inlineStr">
        <is>
          <t>Ítem</t>
        </is>
      </c>
      <c r="H45" s="16" t="inlineStr">
        <is>
          <t>Actividades para esta semana</t>
        </is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t="60" customHeight="1" s="25">
      <c r="A46" s="1" t="n"/>
      <c r="B46" s="17" t="inlineStr">
        <is>
          <t>1</t>
        </is>
      </c>
      <c r="C46" s="18" t="inlineStr">
        <is>
          <t>Sin actividad registrada en esta planilla. Período de receso entre ciclos de trabajo. [0 HH]</t>
        </is>
      </c>
      <c r="D46" s="17" t="inlineStr">
        <is>
          <t>1</t>
        </is>
      </c>
      <c r="E46" s="18" t="inlineStr">
        <is>
          <t>Migración completa del firmware a CMSIS-RTOS v2 con FreeRTOS.</t>
        </is>
      </c>
      <c r="F46" s="18" t="inlineStr">
        <is>
          <t>Pendiente de inicio del siguiente ciclo de desarrollo.</t>
        </is>
      </c>
      <c r="G46" s="17" t="inlineStr">
        <is>
          <t>1</t>
        </is>
      </c>
      <c r="H46" s="18" t="inlineStr">
        <is>
          <t>Iniciar migración del firmware HERMES-A1 a CMSIS-RTOS v2.</t>
        </is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t="60" customHeight="1" s="25">
      <c r="A47" s="1" t="n"/>
      <c r="B47" s="17" t="inlineStr">
        <is>
          <t>2</t>
        </is>
      </c>
      <c r="C47" s="18" t="n"/>
      <c r="D47" s="17" t="inlineStr">
        <is>
          <t>2</t>
        </is>
      </c>
      <c r="E47" s="18" t="inlineStr">
        <is>
          <t>Implementación de tareas: sensor, archivo, módem, control.</t>
        </is>
      </c>
      <c r="F47" s="18" t="n"/>
      <c r="G47" s="17" t="inlineStr">
        <is>
          <t>2</t>
        </is>
      </c>
      <c r="H47" s="18" t="inlineStr">
        <is>
          <t>Configurar STM32CubeMX con FreeRTOS middleware.</t>
        </is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t="60" customHeight="1" s="25">
      <c r="A48" s="1" t="n"/>
      <c r="B48" s="17" t="inlineStr">
        <is>
          <t>3</t>
        </is>
      </c>
      <c r="C48" s="18" t="n"/>
      <c r="D48" s="17" t="inlineStr">
        <is>
          <t>3</t>
        </is>
      </c>
      <c r="E48" s="18" t="inlineStr">
        <is>
          <t>Pruebas de compilación y ejecución en hardware real.</t>
        </is>
      </c>
      <c r="F48" s="18" t="n"/>
      <c r="G48" s="17" t="inlineStr">
        <is>
          <t>3</t>
        </is>
      </c>
      <c r="H48" s="18" t="inlineStr">
        <is>
          <t>Definir estructura de tareas y primitivas de sincronización.</t>
        </is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t="60" customHeight="1" s="25">
      <c r="A49" s="1" t="n"/>
      <c r="B49" s="17" t="inlineStr">
        <is>
          <t>4</t>
        </is>
      </c>
      <c r="C49" s="18" t="n"/>
      <c r="D49" s="17" t="inlineStr">
        <is>
          <t>4</t>
        </is>
      </c>
      <c r="E49" s="18" t="inlineStr">
        <is>
          <t>Documentación del proyecto migrado.</t>
        </is>
      </c>
      <c r="F49" s="18" t="n"/>
      <c r="G49" s="17" t="inlineStr">
        <is>
          <t>4</t>
        </is>
      </c>
      <c r="H49" s="18" t="inlineStr">
        <is>
          <t>Documentar arquitectura del sistema RTOS.</t>
        </is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t="15.75" customHeight="1" s="25">
      <c r="A50" s="1" t="n"/>
      <c r="B50" s="19" t="inlineStr">
        <is>
          <t>Total HH:</t>
        </is>
      </c>
      <c r="C50" s="20">
        <f t="array" ref="C50">SUMPRODUCT(IFERROR(VALUE(MID(C46:C49,FIND("[",C46:C49)+1,FIND(" HH]",C46:C49)-FIND("[",C46:C49)-1)),0))</f>
        <v/>
      </c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t="13" customHeight="1" s="25">
      <c r="A51" s="1" t="n"/>
      <c r="B51" s="24" t="inlineStr">
        <is>
          <t>Semana 21: 18 al 22 May</t>
        </is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t="15.75" customHeight="1" s="25">
      <c r="A52" s="1" t="n"/>
      <c r="B52" s="16" t="inlineStr">
        <is>
          <t>Ítem</t>
        </is>
      </c>
      <c r="C52" s="16" t="inlineStr">
        <is>
          <t>Actividades Semana pasada</t>
        </is>
      </c>
      <c r="D52" s="16" t="inlineStr">
        <is>
          <t>Ítem</t>
        </is>
      </c>
      <c r="E52" s="16" t="inlineStr">
        <is>
          <t>Actividades Pendientes</t>
        </is>
      </c>
      <c r="F52" s="16" t="inlineStr">
        <is>
          <t>Motivo</t>
        </is>
      </c>
      <c r="G52" s="16" t="inlineStr">
        <is>
          <t>Ítem</t>
        </is>
      </c>
      <c r="H52" s="16" t="inlineStr">
        <is>
          <t>Actividades para esta semana</t>
        </is>
      </c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t="60" customHeight="1" s="25">
      <c r="A53" s="1" t="n"/>
      <c r="B53" s="17" t="inlineStr">
        <is>
          <t>1</t>
        </is>
      </c>
      <c r="C53" s="18" t="inlineStr">
        <is>
          <t>Refactorización de tareas RTOS: Implementación completa de sensor_task (estados waiting/settling, encolado de datos) y file_task (escritura CSV con buffer circular, mutex SD). [4 HH]</t>
        </is>
      </c>
      <c r="D53" s="17" t="inlineStr">
        <is>
          <t>1</t>
        </is>
      </c>
      <c r="E53" s="18" t="inlineStr">
        <is>
          <t>Compilación y prueba en hardware real (STM32 Nucleo-F446RE).</t>
        </is>
      </c>
      <c r="F53" s="18" t="inlineStr">
        <is>
          <t>Pendiente de disponibilidad de hardware para pruebas físicas.</t>
        </is>
      </c>
      <c r="G53" s="17" t="inlineStr">
        <is>
          <t>1</t>
        </is>
      </c>
      <c r="H53" s="18" t="inlineStr">
        <is>
          <t>Flashear firmware CMSIS-RTOS v2 en hardware Nucleo-F446RE, validar arranque de tareas y consola CLI por USART.</t>
        </is>
      </c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t="60" customHeight="1" s="25">
      <c r="A54" s="1" t="n"/>
      <c r="B54" s="17" t="inlineStr">
        <is>
          <t>2</t>
        </is>
      </c>
      <c r="C54" s="18" t="inlineStr">
        <is>
          <t>Desarrollo de modem_task: Subida HTTP con reintentos (3 intentos), verificación de RSSI y estados de módem. Implementación de quectel_drive.c/h para control real del EC25. [3 HH]</t>
        </is>
      </c>
      <c r="D54" s="17" t="inlineStr">
        <is>
          <t>2</t>
        </is>
      </c>
      <c r="E54" s="18" t="inlineStr">
        <is>
          <t>Prueba de módem Quectel EC25 con firmware CMSIS-RTOS v2.</t>
        </is>
      </c>
      <c r="F54" s="18" t="inlineStr">
        <is>
          <t>Requiere antena y SIM activa para pruebas de conectividad.</t>
        </is>
      </c>
      <c r="G54" s="17" t="inlineStr">
        <is>
          <t>2</t>
        </is>
      </c>
      <c r="H54" s="18" t="inlineStr">
        <is>
          <t>Probar pipeline sensor→SD: adquirir datos ADXL355, volcar a CSV en tarjeta SD, verificar integridad.</t>
        </is>
      </c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t="60" customHeight="1" s="25">
      <c r="A55" s="1" t="n"/>
      <c r="B55" s="17" t="inlineStr">
        <is>
          <t>3</t>
        </is>
      </c>
      <c r="C55" s="18" t="inlineStr">
        <is>
          <t>Implementación de control_task: CLI interactivo con comandos (status, accel, trigger, sdtest, modem_on, help). Parseo de comandos USART con cli_algo. [3 HH]</t>
        </is>
      </c>
      <c r="D55" s="17" t="inlineStr">
        <is>
          <t>3</t>
        </is>
      </c>
      <c r="E55" s="18" t="inlineStr">
        <is>
          <t>Verificación de FatFs y test de SD con adquisición real ADXL355.</t>
        </is>
      </c>
      <c r="F55" s="18" t="inlineStr">
        <is>
          <t>Depende de la correcta inicialización del ADXL355 en CMSIS.</t>
        </is>
      </c>
      <c r="G55" s="17" t="inlineStr">
        <is>
          <t>3</t>
        </is>
      </c>
      <c r="H55" s="18" t="inlineStr">
        <is>
          <t>Probar pipeline SD→módem: leer archivo CSV, transmitir por Quectel EC25 vía HTTP POST a backend.</t>
        </is>
      </c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t="60" customHeight="1" s="25">
      <c r="A56" s="1" t="n"/>
      <c r="B56" s="17" t="inlineStr">
        <is>
          <t>4</t>
        </is>
      </c>
      <c r="C56" s="18" t="inlineStr">
        <is>
          <t>Compilación exitosa del firmware completo: HERMES-A1-CMSIS.elf / .bin / .hex. Generación de documentación: OPENCODE_SETUP_GUIDE.md/.pdf, documentacion.pdf. [4 HH]</t>
        </is>
      </c>
      <c r="D56" s="17" t="inlineStr">
        <is>
          <t>4</t>
        </is>
      </c>
      <c r="E56" s="18" t="inlineStr">
        <is>
          <t>Prueba de pipeline completo: sensor → SD → módem → backend.</t>
        </is>
      </c>
      <c r="F56" s="18" t="inlineStr">
        <is>
          <t>Integración final requiere subsistemas validados individualmente.</t>
        </is>
      </c>
      <c r="G56" s="17" t="inlineStr">
        <is>
          <t>4</t>
        </is>
      </c>
      <c r="H56" s="18" t="inlineStr">
        <is>
          <t>Documentar resultados de pruebas, ajustar planificación y preparar reporte de avance.</t>
        </is>
      </c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t="13" customHeight="1" s="25">
      <c r="A57" s="1" t="n"/>
      <c r="B57" s="19" t="inlineStr">
        <is>
          <t>Total HH:</t>
        </is>
      </c>
      <c r="C57" s="20">
        <f t="array" ref="C57">SUMPRODUCT(IFERROR(VALUE(MID(C53:C56,FIND("[",C53:C56)+1,FIND(" HH]",C53:C56)-FIND("[",C53:C56)-1)),0))</f>
        <v/>
      </c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t="13" customHeight="1" s="25">
      <c r="A58" s="1" t="n"/>
      <c r="B58" s="24" t="inlineStr">
        <is>
          <t>Semana 22: 25 al 29 May</t>
        </is>
      </c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t="15.75" customHeight="1" s="25">
      <c r="A59" s="1" t="n"/>
      <c r="B59" s="16" t="inlineStr">
        <is>
          <t>Ítem</t>
        </is>
      </c>
      <c r="C59" s="16" t="inlineStr">
        <is>
          <t>Actividades Semana pasada</t>
        </is>
      </c>
      <c r="D59" s="16" t="inlineStr">
        <is>
          <t>Ítem</t>
        </is>
      </c>
      <c r="E59" s="16" t="inlineStr">
        <is>
          <t>Actividades Pendientes</t>
        </is>
      </c>
      <c r="F59" s="16" t="inlineStr">
        <is>
          <t>Motivo</t>
        </is>
      </c>
      <c r="G59" s="16" t="inlineStr">
        <is>
          <t>Ítem</t>
        </is>
      </c>
      <c r="H59" s="16" t="inlineStr">
        <is>
          <t>Actividades para esta semana</t>
        </is>
      </c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t="60" customHeight="1" s="25">
      <c r="A60" s="1" t="n"/>
      <c r="B60" s="17" t="inlineStr">
        <is>
          <t>1</t>
        </is>
      </c>
      <c r="C60" s="18" t="inlineStr">
        <is>
          <t>Creación del proyecto CMSIS-RTOS v2 desde STM32CubeMX: configuración de pines (TIM1, USART1/2, SPI1/2), drivers periféricos (SPI, GPIO, USART, ADXL355, SD_SPI), linker scripts y Makefile ARM GCC. Compilación exitosa del firmware HERMES-A1-CMSIS.elf/bin/hex. [4 HH]</t>
        </is>
      </c>
      <c r="D60" s="17" t="inlineStr">
        <is>
          <t>1</t>
        </is>
      </c>
      <c r="E60" s="18" t="inlineStr">
        <is>
          <t>Compilación y prueba en hardware real (STM32 Nucleo-F446RE): flashear firmware y validar arranque RTOS + consola CLI.</t>
        </is>
      </c>
      <c r="F60" s="18" t="inlineStr">
        <is>
          <t>Pendiente de disponibilidad de hardware para pruebas físicas.</t>
        </is>
      </c>
      <c r="G60" s="17" t="inlineStr">
        <is>
          <t>1</t>
        </is>
      </c>
      <c r="H60" s="18" t="inlineStr">
        <is>
          <t>Flashear firmware CMSIS-RTOS v2 en hardware Nucleo-F446RE, validar arranque de tareas y consola CLI por USART.</t>
        </is>
      </c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t="60" customHeight="1" s="25">
      <c r="A61" s="1" t="n"/>
      <c r="B61" s="17" t="inlineStr">
        <is>
          <t>2</t>
        </is>
      </c>
      <c r="C61" s="18" t="inlineStr">
        <is>
          <t>Arquitectura FreeRTOS: definición de 5 tareas (sensor_task, file_task, modem_task, control_task, CLI) con primitivas de sincronización — event flags, message queues, mutex SD. Configuración de FreeRTOSConfig.h (heap, prioridades, ticks) y tasks.h con objetos de concurrencia. [6 HH]</t>
        </is>
      </c>
      <c r="D61" s="17" t="inlineStr">
        <is>
          <t>2</t>
        </is>
      </c>
      <c r="E61" s="18" t="inlineStr">
        <is>
          <t>Prueba de módem Quectel EC25 con firmware CMSIS-RTOS v2: verificar attach de red, RSSI y upload HTTP.</t>
        </is>
      </c>
      <c r="F61" s="18" t="inlineStr">
        <is>
          <t>Requiere antena y SIM activa para pruebas de conectividad.</t>
        </is>
      </c>
      <c r="G61" s="17" t="inlineStr">
        <is>
          <t>2</t>
        </is>
      </c>
      <c r="H61" s="18" t="inlineStr">
        <is>
          <t>Probar pipeline sensor→SD: adquirir datos ADXL355, volcar a CSV en tarjeta SD, verificar integridad.</t>
        </is>
      </c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t="60" customHeight="1" s="25">
      <c r="A62" s="1" t="n"/>
      <c r="B62" s="17" t="inlineStr">
        <is>
          <t>3</t>
        </is>
      </c>
      <c r="C62" s="18" t="inlineStr">
        <is>
          <t>Algoritmos de procesamiento: sensor_algo (FIFO management, umbral trigger con settling), cli_algo (parseo de comandos: status/test/sdtest/modem_on), csv_algo (buffer circular volcado a string). Implementación de file_task con escritura CSV y mutex SD. [6 HH]</t>
        </is>
      </c>
      <c r="D62" s="17" t="inlineStr">
        <is>
          <t>3</t>
        </is>
      </c>
      <c r="E62" s="18" t="inlineStr">
        <is>
          <t>Verificación de FatFs y test de SD con adquisición real de sensor ADXL355.</t>
        </is>
      </c>
      <c r="F62" s="18" t="inlineStr">
        <is>
          <t>Depende de la correcta inicialización del ADXL355 en el nuevo framework CMSIS.</t>
        </is>
      </c>
      <c r="G62" s="17" t="inlineStr">
        <is>
          <t>3</t>
        </is>
      </c>
      <c r="H62" s="18" t="inlineStr">
        <is>
          <t>Probar pipeline SD→módem: leer archivo CSV, transmitir por Quectel EC25 vía HTTP POST a backend.</t>
        </is>
      </c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t="60" customHeight="1" s="25">
      <c r="A63" s="1" t="n"/>
      <c r="B63" s="17" t="inlineStr">
        <is>
          <t>4</t>
        </is>
      </c>
      <c r="C63" s="18" t="inlineStr">
        <is>
          <t>Implementación de sensor_task (adquisición con estados waiting/settling, encolado), modem_task (HTTP POST con reintentos y verificación RSSI), control_task (CLI interactivo completo). Generación de documentación: OPENCODE_SETUP_GUIDE, Actividades Pendientes PDF, Ruta de Desarrollo PDF, documentacion.pdf. [9 HH]</t>
        </is>
      </c>
      <c r="D63" s="17" t="inlineStr">
        <is>
          <t>4</t>
        </is>
      </c>
      <c r="E63" s="18" t="inlineStr">
        <is>
          <t>Prueba de pipeline completo: sensor → SD → módem → backend. Corrección de interrupción Wake-on-Motion y NVIC.</t>
        </is>
      </c>
      <c r="F63" s="18" t="inlineStr">
        <is>
          <t>Integración final requiere todos los subsistemas validados individualmente primero.</t>
        </is>
      </c>
      <c r="G63" s="17" t="inlineStr">
        <is>
          <t>4</t>
        </is>
      </c>
      <c r="H63" s="18" t="inlineStr">
        <is>
          <t>Documentar resultados de pruebas, ajustar planificación y preparar reporte de avance.</t>
        </is>
      </c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t="13" customHeight="1" s="25">
      <c r="A64" s="1" t="n"/>
      <c r="B64" s="19" t="inlineStr">
        <is>
          <t>Total HH:</t>
        </is>
      </c>
      <c r="C64" s="20">
        <f t="array" ref="C64">SUMPRODUCT(IFERROR(VALUE(MID(C60:C63,FIND("[",C60:C63)+1,FIND(" HH]",C60:C63)-FIND("[",C60:C63)-1)),0))</f>
        <v/>
      </c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t="20" customHeight="1" s="25">
      <c r="A65" s="1" t="n"/>
      <c r="B65" s="24" t="inlineStr">
        <is>
          <t>TAREAS EN PROGRESO</t>
        </is>
      </c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t="45" customHeight="1" s="25">
      <c r="A66" s="1" t="n"/>
      <c r="B66" s="17" t="inlineStr">
        <is>
          <t>1</t>
        </is>
      </c>
      <c r="C66" s="18" t="inlineStr">
        <is>
          <t>Fix residual NRST post-upload por corriente de modem al cerrar TCP</t>
        </is>
      </c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t="45" customHeight="1" s="25">
      <c r="A67" s="1" t="n"/>
      <c r="B67" s="17" t="inlineStr">
        <is>
          <t>2</t>
        </is>
      </c>
      <c r="C67" s="18" t="inlineStr">
        <is>
          <t>NTP sync: ambos servidores fallan, investigar timing AT+QNTP</t>
        </is>
      </c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t="45" customHeight="1" s="25">
      <c r="A68" s="1" t="n"/>
      <c r="B68" s="17" t="inlineStr">
        <is>
          <t>3</t>
        </is>
      </c>
      <c r="C68" s="18" t="inlineStr">
        <is>
          <t>SD mount: primer intento falla (FRESULT=1), retry exitoso</t>
        </is>
      </c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t="13" customHeight="1" s="2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t="20" customHeight="1" s="25">
      <c r="A70" s="1" t="n"/>
      <c r="B70" s="24" t="inlineStr">
        <is>
          <t>TAREAS FUTURAS</t>
        </is>
      </c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t="45" customHeight="1" s="25">
      <c r="A71" s="1" t="n"/>
      <c r="B71" s="17" t="inlineStr">
        <is>
          <t>1</t>
        </is>
      </c>
      <c r="C71" s="18" t="inlineStr">
        <is>
          <t>Port de ADXL355 a ADXL312. Evaluar compatibilidad de pines y registros del ADXL312 (acelerómetro de bajo costo) como reemplazo del ADXL355. Adaptar driver SPI y lógica de configuración. Estimación: 6 HH.</t>
        </is>
      </c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t="45" customHeight="1" s="25">
      <c r="A72" s="1" t="n"/>
      <c r="B72" s="17" t="inlineStr">
        <is>
          <t>2</t>
        </is>
      </c>
      <c r="C72" s="18" t="inlineStr">
        <is>
          <t>Implementación de pruebas unitarias para módulos RTOS. Desarrollar pruebas para sensor_task, file_task, modem_task usando un framework de pruebas embebido (CMock/Unity). Validar transiciones de estado y manejo de errores. Estimación: 8 HH.</t>
        </is>
      </c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t="45" customHeight="1" s="25">
      <c r="A73" s="1" t="n"/>
      <c r="B73" s="17" t="inlineStr">
        <is>
          <t>3</t>
        </is>
      </c>
      <c r="C73" s="18" t="inlineStr">
        <is>
          <t>Integración con backend IoT. Desarrollar firmware de comunicación MQTT sobre PPP/EC25 para publicación periódica de datos de vibración. Implementar mecanismo de buffer local con reenvío en caso de fallo de conectividad. Estimación: 10 HH.</t>
        </is>
      </c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t="45" customHeight="1" s="25">
      <c r="A74" s="1" t="n"/>
      <c r="B74" s="17" t="inlineStr">
        <is>
          <t>4</t>
        </is>
      </c>
      <c r="C74" s="18" t="inlineStr">
        <is>
          <t>Reducción de consumo energético. Implementar modos de bajo consumo (STOP/SLEEP) del STM32F446RE entre ciclos de adquisición. Configurar wake-up por RTC o interrupción de sensor. Estimación: 8 HH.</t>
        </is>
      </c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t="45" customHeight="1" s="25">
      <c r="A75" s="1" t="n"/>
      <c r="B75" s="17" t="inlineStr">
        <is>
          <t>5</t>
        </is>
      </c>
      <c r="C75" s="18" t="inlineStr">
        <is>
          <t>Diseño de PCB definitivo. Diseñar esquemático y layout de PCB para el sistema de monitoreo de vibraciones con STM32F446RE, ADXL355/ADXL312, Quectel EC25 y alimentación por batería. Estimación: 20 HH.</t>
        </is>
      </c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t="13" customHeight="1" s="25">
      <c r="A76" s="1" t="n"/>
      <c r="B76" s="27" t="inlineStr">
        <is>
          <t>📍 RESUMEN: Jun 2025 — May 2026 (Migración FreeRTOS)</t>
        </is>
      </c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t="13" customHeight="1" s="25">
      <c r="A77" s="1" t="n"/>
      <c r="B77" s="28" t="inlineStr">
        <is>
          <t>Ítem</t>
        </is>
      </c>
      <c r="C77" s="28" t="inlineStr">
        <is>
          <t>Actividades Semana pasada</t>
        </is>
      </c>
      <c r="D77" s="28" t="inlineStr">
        <is>
          <t>Ítem</t>
        </is>
      </c>
      <c r="E77" s="28" t="inlineStr">
        <is>
          <t>Actividades Pendientes</t>
        </is>
      </c>
      <c r="F77" s="28" t="inlineStr">
        <is>
          <t>Motivo</t>
        </is>
      </c>
      <c r="G77" s="28" t="inlineStr">
        <is>
          <t>Ítem</t>
        </is>
      </c>
      <c r="H77" s="28" t="inlineStr">
        <is>
          <t>Actividades para esta semana</t>
        </is>
      </c>
      <c r="I77" s="1" t="n"/>
      <c r="J77" s="28" t="inlineStr">
        <is>
          <t>Sem</t>
        </is>
      </c>
      <c r="K77" s="28" t="inlineStr">
        <is>
          <t>Total HH</t>
        </is>
      </c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t="13" customHeight="1" s="25">
      <c r="A78" s="1" t="n"/>
      <c r="B78" s="1" t="n">
        <v>1</v>
      </c>
      <c r="C78" s="29" t="n"/>
      <c r="D78" s="1" t="n"/>
      <c r="E78" s="29" t="inlineStr">
        <is>
          <t>Optimización DMA pendiente</t>
        </is>
      </c>
      <c r="F78" s="29" t="inlineStr">
        <is>
          <t>DMA1 Stream 3/4 funcional, falta modo burst</t>
        </is>
      </c>
      <c r="G78" s="1" t="n">
        <v>1</v>
      </c>
      <c r="H78" s="29" t="inlineStr">
        <is>
          <t>Migración a FreeRTOS + CMSIS-RTOS v2 completa [40+ HH]</t>
        </is>
      </c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t="13" customHeight="1" s="25">
      <c r="A79" s="1" t="n"/>
      <c r="B79" s="1" t="n">
        <v>2</v>
      </c>
      <c r="C79" s="29" t="n"/>
      <c r="D79" s="1" t="n"/>
      <c r="E79" s="29" t="inlineStr">
        <is>
          <t>Adquisición continua pendiente</t>
        </is>
      </c>
      <c r="F79" s="29" t="inlineStr">
        <is>
          <t>Requiere DMA modo burst validado</t>
        </is>
      </c>
      <c r="G79" s="1" t="n">
        <v>2</v>
      </c>
      <c r="H79" s="29" t="inlineStr">
        <is>
          <t>Driver SPI2 con DMA para ADXL355 [12 HH]</t>
        </is>
      </c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t="13" customHeight="1" s="25">
      <c r="A80" s="1" t="n"/>
      <c r="B80" s="1" t="n">
        <v>3</v>
      </c>
      <c r="C80" s="29" t="n"/>
      <c r="D80" s="1" t="n"/>
      <c r="E80" s="29" t="inlineStr">
        <is>
          <t>Calibración acelerómetro pendiente</t>
        </is>
      </c>
      <c r="F80" s="29" t="inlineStr">
        <is>
          <t>Requiere setup de referencia</t>
        </is>
      </c>
      <c r="G80" s="1" t="n">
        <v>3</v>
      </c>
      <c r="H80" s="29" t="inlineStr">
        <is>
          <t>Suite de pruebas: 47 tests, 8 bugs [16 HH]</t>
        </is>
      </c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t="13" customHeight="1" s="25">
      <c r="A81" s="1" t="n"/>
      <c r="B81" s="1" t="n">
        <v>4</v>
      </c>
      <c r="C81" s="29" t="n"/>
      <c r="D81" s="1" t="n"/>
      <c r="E81" s="29" t="inlineStr">
        <is>
          <t>Sincronización NTP pendiente</t>
        </is>
      </c>
      <c r="F81" s="29" t="inlineStr">
        <is>
          <t>Depende de stack LTE estable</t>
        </is>
      </c>
      <c r="G81" s="1" t="n">
        <v>4</v>
      </c>
      <c r="H81" s="29" t="inlineStr">
        <is>
          <t>Task refactoring + módulos algoritmo [10 HH]</t>
        </is>
      </c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t="13" customHeight="1" s="25">
      <c r="A82" s="1" t="n"/>
      <c r="B82" s="30" t="inlineStr">
        <is>
          <t>Total HH:</t>
        </is>
      </c>
      <c r="C82" s="1">
        <f>C78+C79+C80+C81</f>
        <v/>
      </c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t="13" customHeight="1" s="25">
      <c r="A83" s="1" t="n"/>
      <c r="B83" s="27" t="inlineStr">
        <is>
          <t>Semana 23: 02 al 06 Jun 2026</t>
        </is>
      </c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t="13" customHeight="1" s="25">
      <c r="A84" s="1" t="n"/>
      <c r="B84" s="28" t="inlineStr">
        <is>
          <t>Ítem</t>
        </is>
      </c>
      <c r="C84" s="28" t="inlineStr">
        <is>
          <t>Actividades Semana pasada</t>
        </is>
      </c>
      <c r="D84" s="28" t="inlineStr">
        <is>
          <t>Ítem</t>
        </is>
      </c>
      <c r="E84" s="28" t="inlineStr">
        <is>
          <t>Actividades Pendientes</t>
        </is>
      </c>
      <c r="F84" s="28" t="inlineStr">
        <is>
          <t>Motivo</t>
        </is>
      </c>
      <c r="G84" s="28" t="inlineStr">
        <is>
          <t>Ítem</t>
        </is>
      </c>
      <c r="H84" s="28" t="inlineStr">
        <is>
          <t>Actividades para esta semana</t>
        </is>
      </c>
      <c r="I84" s="1" t="n"/>
      <c r="J84" s="28" t="inlineStr">
        <is>
          <t>Sem</t>
        </is>
      </c>
      <c r="K84" s="28" t="inlineStr">
        <is>
          <t>Total HH</t>
        </is>
      </c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t="13" customHeight="1" s="25">
      <c r="A85" s="1" t="n"/>
      <c r="B85" s="1" t="n">
        <v>1</v>
      </c>
      <c r="C85" s="29" t="n"/>
      <c r="D85" s="1" t="n"/>
      <c r="E85" s="29" t="inlineStr">
        <is>
          <t>Adquisición en tiempo continuo</t>
        </is>
      </c>
      <c r="F85" s="29" t="inlineStr">
        <is>
          <t>Requiere DMA modo burst validado</t>
        </is>
      </c>
      <c r="G85" s="1" t="n">
        <v>1</v>
      </c>
      <c r="H85" s="29" t="inlineStr">
        <is>
          <t>Pruebas de pipeline completo: sensor→SD→módem [6 HH]</t>
        </is>
      </c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t="13" customHeight="1" s="25">
      <c r="A86" s="1" t="n"/>
      <c r="B86" s="1" t="n">
        <v>2</v>
      </c>
      <c r="C86" s="29" t="n"/>
      <c r="D86" s="1" t="n"/>
      <c r="E86" s="29" t="inlineStr">
        <is>
          <t>Diseño buffer local SD</t>
        </is>
      </c>
      <c r="F86" s="29" t="inlineStr">
        <is>
          <t>Especificación de tamaño y política</t>
        </is>
      </c>
      <c r="G86" s="1" t="n">
        <v>2</v>
      </c>
      <c r="H86" s="29" t="inlineStr">
        <is>
          <t>Optimización DMA modo burst [8 HH]</t>
        </is>
      </c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t="13" customHeight="1" s="25">
      <c r="A87" s="1" t="n"/>
      <c r="B87" s="1" t="n">
        <v>3</v>
      </c>
      <c r="C87" s="29" t="n"/>
      <c r="D87" s="1" t="n"/>
      <c r="E87" s="29" t="inlineStr">
        <is>
          <t>---</t>
        </is>
      </c>
      <c r="F87" s="29" t="n"/>
      <c r="G87" s="1" t="n">
        <v>3</v>
      </c>
      <c r="H87" s="29" t="inlineStr">
        <is>
          <t>Suite pruebas: test_suite.c + reportes [4 HH]</t>
        </is>
      </c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t="13" customHeight="1" s="25">
      <c r="A88" s="1" t="n"/>
      <c r="B88" s="1" t="n">
        <v>4</v>
      </c>
      <c r="C88" s="29" t="n"/>
      <c r="D88" s="1" t="n"/>
      <c r="E88" s="29" t="inlineStr">
        <is>
          <t>---</t>
        </is>
      </c>
      <c r="F88" s="29" t="n"/>
      <c r="G88" s="1" t="n">
        <v>4</v>
      </c>
      <c r="H88" s="29" t="inlineStr">
        <is>
          <t>Documentación técnica v1.1.0 [2 HH]</t>
        </is>
      </c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t="13" customHeight="1" s="25">
      <c r="A89" s="1" t="n"/>
      <c r="B89" s="30" t="inlineStr">
        <is>
          <t>Total HH:</t>
        </is>
      </c>
      <c r="C89" s="1">
        <f>C85+C86+C87+C88</f>
        <v/>
      </c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t="13" customHeight="1" s="25">
      <c r="A90" s="1" t="n"/>
      <c r="B90" s="27" t="inlineStr">
        <is>
          <t>Semana 24: 09 al 13 Jun 2026</t>
        </is>
      </c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t="13" customHeight="1" s="25">
      <c r="A91" s="1" t="n"/>
      <c r="B91" s="28" t="inlineStr">
        <is>
          <t>Ítem</t>
        </is>
      </c>
      <c r="C91" s="28" t="inlineStr">
        <is>
          <t>Actividades Semana pasada</t>
        </is>
      </c>
      <c r="D91" s="28" t="inlineStr">
        <is>
          <t>Ítem</t>
        </is>
      </c>
      <c r="E91" s="28" t="inlineStr">
        <is>
          <t>Actividades Pendientes</t>
        </is>
      </c>
      <c r="F91" s="28" t="inlineStr">
        <is>
          <t>Motivo</t>
        </is>
      </c>
      <c r="G91" s="28" t="inlineStr">
        <is>
          <t>Ítem</t>
        </is>
      </c>
      <c r="H91" s="28" t="inlineStr">
        <is>
          <t>Actividades para esta semana</t>
        </is>
      </c>
      <c r="I91" s="1" t="n"/>
      <c r="J91" s="28" t="inlineStr">
        <is>
          <t>Sem</t>
        </is>
      </c>
      <c r="K91" s="28" t="inlineStr">
        <is>
          <t>Total HH</t>
        </is>
      </c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t="13" customHeight="1" s="25">
      <c r="A92" s="1" t="n"/>
      <c r="B92" s="1" t="n">
        <v>1</v>
      </c>
      <c r="C92" s="29" t="n"/>
      <c r="D92" s="1" t="n"/>
      <c r="E92" s="29" t="inlineStr">
        <is>
          <t>Calibración acelerómetro ADXL355</t>
        </is>
      </c>
      <c r="F92" s="29" t="inlineStr">
        <is>
          <t>Setup de prueba con referencia</t>
        </is>
      </c>
      <c r="G92" s="1" t="n">
        <v>1</v>
      </c>
      <c r="H92" s="29" t="inlineStr">
        <is>
          <t>Adquisición en tiempo continuo: pruebas iniciales [8 HH]</t>
        </is>
      </c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t="13" customHeight="1" s="25">
      <c r="A93" s="1" t="n"/>
      <c r="B93" s="1" t="n">
        <v>2</v>
      </c>
      <c r="C93" s="29" t="n"/>
      <c r="D93" s="1" t="n"/>
      <c r="E93" s="29" t="inlineStr">
        <is>
          <t>FPU Enable + migración punto flotante</t>
        </is>
      </c>
      <c r="F93" s="29" t="inlineStr">
        <is>
          <t>Evaluar impacto en consumo</t>
        </is>
      </c>
      <c r="G93" s="1" t="n">
        <v>2</v>
      </c>
      <c r="H93" s="29" t="inlineStr">
        <is>
          <t>Inicio calibración acelerómetro [6 HH]</t>
        </is>
      </c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t="13" customHeight="1" s="25">
      <c r="A94" s="1" t="n"/>
      <c r="B94" s="1" t="n">
        <v>3</v>
      </c>
      <c r="C94" s="29" t="n"/>
      <c r="D94" s="1" t="n"/>
      <c r="E94" s="29" t="inlineStr">
        <is>
          <t>---</t>
        </is>
      </c>
      <c r="F94" s="29" t="n"/>
      <c r="G94" s="1" t="n">
        <v>3</v>
      </c>
      <c r="H94" s="29" t="inlineStr">
        <is>
          <t>Buffer local: diseño de arquitectura [4 HH]</t>
        </is>
      </c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t="13" customHeight="1" s="25">
      <c r="A95" s="1" t="n"/>
      <c r="B95" s="1" t="n">
        <v>4</v>
      </c>
      <c r="C95" s="29" t="n"/>
      <c r="D95" s="1" t="n"/>
      <c r="E95" s="29" t="inlineStr">
        <is>
          <t>---</t>
        </is>
      </c>
      <c r="F95" s="29" t="n"/>
      <c r="G95" s="1" t="n">
        <v>4</v>
      </c>
      <c r="H95" s="29" t="inlineStr">
        <is>
          <t>Corrección CLI input loss (prioridad control_task) [2 HH]</t>
        </is>
      </c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t="13" customHeight="1" s="25">
      <c r="A96" s="1" t="n"/>
      <c r="B96" s="30" t="inlineStr">
        <is>
          <t>Total HH:</t>
        </is>
      </c>
      <c r="C96" s="1">
        <f>C92+C93+C94+C95</f>
        <v/>
      </c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t="13" customHeight="1" s="25">
      <c r="A97" s="1" t="n"/>
      <c r="B97" s="27" t="inlineStr">
        <is>
          <t>Semana 25: 16 al 20 Jun 2026</t>
        </is>
      </c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t="13" customHeight="1" s="25">
      <c r="A98" s="1" t="n"/>
      <c r="B98" s="28" t="inlineStr">
        <is>
          <t>Ítem</t>
        </is>
      </c>
      <c r="C98" s="28" t="inlineStr">
        <is>
          <t>Actividades Semana pasada</t>
        </is>
      </c>
      <c r="D98" s="28" t="inlineStr">
        <is>
          <t>Ítem</t>
        </is>
      </c>
      <c r="E98" s="28" t="inlineStr">
        <is>
          <t>Actividades Pendientes</t>
        </is>
      </c>
      <c r="F98" s="28" t="inlineStr">
        <is>
          <t>Motivo</t>
        </is>
      </c>
      <c r="G98" s="28" t="inlineStr">
        <is>
          <t>Ítem</t>
        </is>
      </c>
      <c r="H98" s="28" t="inlineStr">
        <is>
          <t>Actividades para esta semana</t>
        </is>
      </c>
      <c r="I98" s="1" t="n"/>
      <c r="J98" s="28" t="inlineStr">
        <is>
          <t>Sem</t>
        </is>
      </c>
      <c r="K98" s="28" t="inlineStr">
        <is>
          <t>Total HH</t>
        </is>
      </c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t="13" customHeight="1" s="25">
      <c r="A99" s="1" t="n"/>
      <c r="B99" s="1" t="n">
        <v>1</v>
      </c>
      <c r="C99" s="29" t="inlineStr">
        <is>
          <t>FPU habilitada, DMA SPI2 implementado, validacion pipeline sensor-&gt;SD-&gt;modem en hardware real [4 HH]</t>
        </is>
      </c>
      <c r="D99" s="1" t="n"/>
      <c r="E99" s="29" t="inlineStr">
        <is>
          <t>Sincronización NTP sobre LTE</t>
        </is>
      </c>
      <c r="F99" s="29" t="inlineStr">
        <is>
          <t>Depende de stack AT + librería NTP</t>
        </is>
      </c>
      <c r="G99" s="1" t="n">
        <v>1</v>
      </c>
      <c r="H99" s="29" t="inlineStr">
        <is>
          <t>Cola RAM upload implementada (8 slots circulares) [6 HH]</t>
        </is>
      </c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t="13" customHeight="1" s="25">
      <c r="A100" s="1" t="n"/>
      <c r="B100" s="1" t="n">
        <v>2</v>
      </c>
      <c r="C100" s="29" t="inlineStr">
        <is>
          <t>Validacion pipeline completo 24h: firmware compilado y flasheado [4 HH]</t>
        </is>
      </c>
      <c r="D100" s="1" t="n"/>
      <c r="E100" s="29" t="inlineStr">
        <is>
          <t>Monitoreo de baterías Li-Ion</t>
        </is>
      </c>
      <c r="F100" s="29" t="inlineStr">
        <is>
          <t>Requiere integración ADC</t>
        </is>
      </c>
      <c r="G100" s="1" t="n">
        <v>2</v>
      </c>
      <c r="H100" s="29" t="inlineStr">
        <is>
          <t>Backup registers RTC: tracking upload BKP0R-BKP19R [4 HH]</t>
        </is>
      </c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t="13" customHeight="1" s="25">
      <c r="A101" s="1" t="n"/>
      <c r="B101" s="1" t="n">
        <v>3</v>
      </c>
      <c r="C101" s="29" t="inlineStr">
        <is>
          <t>Calibracion acelerometro ADXL355: pruebas con referencia [6 HH]</t>
        </is>
      </c>
      <c r="D101" s="1" t="n"/>
      <c r="E101" s="29" t="inlineStr">
        <is>
          <t>Val. banco baterías Li-Ion</t>
        </is>
      </c>
      <c r="F101" s="29" t="inlineStr">
        <is>
          <t>Requiere celdas y circuito</t>
        </is>
      </c>
      <c r="G101" s="1" t="n">
        <v>3</v>
      </c>
      <c r="H101" s="29" t="inlineStr">
        <is>
          <t>Modem_PowerOff reubicado a modem_task + fix NRST [4 HH]</t>
        </is>
      </c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t="13" customHeight="1" s="25">
      <c r="A102" s="1" t="n"/>
      <c r="B102" s="1" t="n">
        <v>4</v>
      </c>
      <c r="C102" s="29" t="inlineStr">
        <is>
          <t>Buffer local SD: diseno arquitectura e implementacion inicial [4 HH]</t>
        </is>
      </c>
      <c r="D102" s="1" t="n"/>
      <c r="E102" s="29" t="inlineStr">
        <is>
          <t>---</t>
        </is>
      </c>
      <c r="F102" s="29" t="n"/>
      <c r="G102" s="1" t="n">
        <v>4</v>
      </c>
      <c r="H102" s="29" t="inlineStr">
        <is>
          <t>Boot scan + fix UB + upload concurrente [4 HH]</t>
        </is>
      </c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t="13" customHeight="1" s="25">
      <c r="A103" s="1" t="n"/>
      <c r="B103" s="30" t="inlineStr">
        <is>
          <t>Total HH:</t>
        </is>
      </c>
      <c r="C103" s="1">
        <f>C99+C100+C101+C102</f>
        <v/>
      </c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t="13" customHeight="1" s="25">
      <c r="A104" s="1" t="n"/>
      <c r="B104" s="27" t="inlineStr">
        <is>
          <t>Semana 26: 23 al 27 Jun 2026 [ACTUAL]</t>
        </is>
      </c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t="13" customHeight="1" s="25">
      <c r="A105" s="1" t="n"/>
      <c r="B105" s="28" t="inlineStr">
        <is>
          <t>Ítem</t>
        </is>
      </c>
      <c r="C105" s="28" t="inlineStr">
        <is>
          <t>Actividades Semana pasada</t>
        </is>
      </c>
      <c r="D105" s="28" t="inlineStr">
        <is>
          <t>Ítem</t>
        </is>
      </c>
      <c r="E105" s="28" t="inlineStr">
        <is>
          <t>Actividades Pendientes</t>
        </is>
      </c>
      <c r="F105" s="28" t="inlineStr">
        <is>
          <t>Motivo</t>
        </is>
      </c>
      <c r="G105" s="28" t="inlineStr">
        <is>
          <t>Ítem</t>
        </is>
      </c>
      <c r="H105" s="28" t="inlineStr">
        <is>
          <t>Actividades para esta semana</t>
        </is>
      </c>
      <c r="I105" s="1" t="n"/>
      <c r="J105" s="28" t="inlineStr">
        <is>
          <t>Sem</t>
        </is>
      </c>
      <c r="K105" s="28" t="inlineStr">
        <is>
          <t>Total HH</t>
        </is>
      </c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t="13" customHeight="1" s="25">
      <c r="A106" s="1" t="n"/>
      <c r="B106" s="1" t="n">
        <v>1</v>
      </c>
      <c r="C106" s="29" t="inlineStr">
        <is>
          <t>Upload pipeline estable: 3 uploads encadenados (TRIG_006/007/008) sin NRST. Backup registers funcionando (BKP0R-BKP19R). Modem_PowerOff reubicado a modem_task. [6 HH]</t>
        </is>
      </c>
      <c r="D106" s="1" t="n"/>
      <c r="E106" s="29" t="inlineStr">
        <is>
          <t>NTP: falla con ambos servidores Google/pool.ntp.org</t>
        </is>
      </c>
      <c r="F106" s="29" t="inlineStr">
        <is>
          <t>Documentación de comandos AT+NTP</t>
        </is>
      </c>
      <c r="G106" s="1" t="n">
        <v>1</v>
      </c>
      <c r="H106" s="29" t="inlineStr">
        <is>
          <t>Validacion pipeline 48h: multiple triggers + upload sin NRST [8 HH]</t>
        </is>
      </c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t="13" customHeight="1" s="25">
      <c r="A107" s="1" t="n"/>
      <c r="B107" s="1" t="n">
        <v>2</v>
      </c>
      <c r="C107" s="29" t="inlineStr">
        <is>
          <t>Cola RAM upload 8 slots: implementacion, fix upload_queue_pop(NULL,0) UB, boot scan con skip por backup register. [4 HH]</t>
        </is>
      </c>
      <c r="D107" s="1" t="n"/>
      <c r="E107" s="29" t="inlineStr">
        <is>
          <t>SD mount: falla primer intento, exito en retry</t>
        </is>
      </c>
      <c r="F107" s="29" t="inlineStr">
        <is>
          <t>Diseño esquemático y layout</t>
        </is>
      </c>
      <c r="G107" s="1" t="n">
        <v>2</v>
      </c>
      <c r="H107" s="29" t="inlineStr">
        <is>
          <t>Fix SD mount retry: investigar causa primer fallo [4 HH]</t>
        </is>
      </c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t="13" customHeight="1" s="25">
      <c r="A108" s="1" t="n"/>
      <c r="B108" s="1" t="n">
        <v>3</v>
      </c>
      <c r="C108" s="29" t="inlineStr">
        <is>
          <t>Upload concurrente con adquisicion: sensor_task adquiere mientras modem sube. Validado con TRIG_006/007/008 simultaneos. [4 HH]</t>
        </is>
      </c>
      <c r="D108" s="1" t="n"/>
      <c r="E108" s="29" t="inlineStr">
        <is>
          <t>Modem_PowerOff: NRST residual posible por corriente</t>
        </is>
      </c>
      <c r="F108" s="29" t="inlineStr">
        <is>
          <t>Sensores de corriente/voltaje</t>
        </is>
      </c>
      <c r="G108" s="1" t="n">
        <v>3</v>
      </c>
      <c r="H108" s="29" t="inlineStr">
        <is>
          <t>NTP: debug con dump AT completo + timing [4 HH]</t>
        </is>
      </c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t="13" customHeight="1" s="25">
      <c r="A109" s="1" t="n"/>
      <c r="B109" s="1" t="n">
        <v>4</v>
      </c>
      <c r="C109" s="29" t="inlineStr">
        <is>
          <t>GANTT actualizado. Documentacion de arquitectura. [2 HH]</t>
        </is>
      </c>
      <c r="D109" s="1" t="n"/>
      <c r="E109" s="29" t="inlineStr">
        <is>
          <t>---</t>
        </is>
      </c>
      <c r="F109" s="29" t="n"/>
      <c r="G109" s="1" t="n">
        <v>4</v>
      </c>
      <c r="H109" s="29" t="inlineStr">
        <is>
          <t>Documentacion tecnica v1.2.0 + GANTT final [2 HH]</t>
        </is>
      </c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t="13" customHeight="1" s="25">
      <c r="A110" s="1" t="n"/>
      <c r="B110" s="30" t="inlineStr">
        <is>
          <t>Total HH:</t>
        </is>
      </c>
      <c r="C110" s="1">
        <f>C106+C107+C108+C109</f>
        <v/>
      </c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t="13" customHeight="1" s="25">
      <c r="A111" s="1" t="n"/>
      <c r="B111" s="27" t="inlineStr">
        <is>
          <t>Semana 27: 30 Jun al 04 Jul 2026</t>
        </is>
      </c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t="13" customHeight="1" s="25">
      <c r="A112" s="1" t="n"/>
      <c r="B112" s="28" t="inlineStr">
        <is>
          <t>Ítem</t>
        </is>
      </c>
      <c r="C112" s="28" t="inlineStr">
        <is>
          <t>Actividades Semana pasada</t>
        </is>
      </c>
      <c r="D112" s="28" t="inlineStr">
        <is>
          <t>Ítem</t>
        </is>
      </c>
      <c r="E112" s="28" t="inlineStr">
        <is>
          <t>Actividades Pendientes</t>
        </is>
      </c>
      <c r="F112" s="28" t="inlineStr">
        <is>
          <t>Motivo</t>
        </is>
      </c>
      <c r="G112" s="28" t="inlineStr">
        <is>
          <t>Ítem</t>
        </is>
      </c>
      <c r="H112" s="28" t="inlineStr">
        <is>
          <t>Actividades para esta semana</t>
        </is>
      </c>
      <c r="I112" s="1" t="n"/>
      <c r="J112" s="28" t="inlineStr">
        <is>
          <t>Sem</t>
        </is>
      </c>
      <c r="K112" s="28" t="inlineStr">
        <is>
          <t>Total HH</t>
        </is>
      </c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t="13" customHeight="1" s="25">
      <c r="A113" s="1" t="n"/>
      <c r="B113" s="1" t="n">
        <v>1</v>
      </c>
      <c r="C113" s="29" t="n"/>
      <c r="D113" s="1" t="n"/>
      <c r="E113" s="29" t="inlineStr">
        <is>
          <t>PCB alimentación: esquemático</t>
        </is>
      </c>
      <c r="F113" s="29" t="inlineStr">
        <is>
          <t>Herramientas EDA (KiCad)</t>
        </is>
      </c>
      <c r="G113" s="1" t="n">
        <v>1</v>
      </c>
      <c r="H113" s="29" t="inlineStr">
        <is>
          <t>NTP: pruebas de sincronización en laboratorio [6 HH]</t>
        </is>
      </c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t="13" customHeight="1" s="25">
      <c r="A114" s="1" t="n"/>
      <c r="B114" s="1" t="n">
        <v>2</v>
      </c>
      <c r="C114" s="29" t="n"/>
      <c r="D114" s="1" t="n"/>
      <c r="E114" s="29" t="inlineStr">
        <is>
          <t>PCB alimentación: layout</t>
        </is>
      </c>
      <c r="F114" s="29" t="inlineStr">
        <is>
          <t>Depende de esquemático aprobado</t>
        </is>
      </c>
      <c r="G114" s="1" t="n">
        <v>2</v>
      </c>
      <c r="H114" s="29" t="inlineStr">
        <is>
          <t>Monitoreo baterías: ADC STM32 + temperatura [6 HH]</t>
        </is>
      </c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t="13" customHeight="1" s="25">
      <c r="A115" s="1" t="n"/>
      <c r="B115" s="1" t="n">
        <v>3</v>
      </c>
      <c r="C115" s="29" t="n"/>
      <c r="D115" s="1" t="n"/>
      <c r="E115" s="29" t="inlineStr">
        <is>
          <t>Protecciones eléctricas (OV, reverse)</t>
        </is>
      </c>
      <c r="F115" s="29" t="inlineStr">
        <is>
          <t>Especificación de márgenes</t>
        </is>
      </c>
      <c r="G115" s="1" t="n">
        <v>3</v>
      </c>
      <c r="H115" s="29" t="inlineStr">
        <is>
          <t>PCB alimentación: diseño esquemático [8 HH]</t>
        </is>
      </c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t="13" customHeight="1" s="25">
      <c r="A116" s="1" t="n"/>
      <c r="B116" s="1" t="n">
        <v>4</v>
      </c>
      <c r="C116" s="29" t="n"/>
      <c r="D116" s="1" t="n"/>
      <c r="E116" s="29" t="inlineStr">
        <is>
          <t>---</t>
        </is>
      </c>
      <c r="F116" s="29" t="n"/>
      <c r="G116" s="1" t="n">
        <v>4</v>
      </c>
      <c r="H116" s="29" t="inlineStr">
        <is>
          <t>---</t>
        </is>
      </c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t="13" customHeight="1" s="25">
      <c r="A117" s="1" t="n"/>
      <c r="B117" s="30" t="inlineStr">
        <is>
          <t>Total HH:</t>
        </is>
      </c>
      <c r="C117" s="1">
        <f>C113+C114+C115+C116</f>
        <v/>
      </c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t="13" customHeight="1" s="25">
      <c r="A118" s="1" t="n"/>
      <c r="B118" s="27" t="inlineStr">
        <is>
          <t>Semana 28: 07 al 11 Jul 2026</t>
        </is>
      </c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t="13" customHeight="1" s="25">
      <c r="A119" s="1" t="n"/>
      <c r="B119" s="28" t="inlineStr">
        <is>
          <t>Ítem</t>
        </is>
      </c>
      <c r="C119" s="28" t="inlineStr">
        <is>
          <t>Actividades Semana pasada</t>
        </is>
      </c>
      <c r="D119" s="28" t="inlineStr">
        <is>
          <t>Ítem</t>
        </is>
      </c>
      <c r="E119" s="28" t="inlineStr">
        <is>
          <t>Actividades Pendientes</t>
        </is>
      </c>
      <c r="F119" s="28" t="inlineStr">
        <is>
          <t>Motivo</t>
        </is>
      </c>
      <c r="G119" s="28" t="inlineStr">
        <is>
          <t>Ítem</t>
        </is>
      </c>
      <c r="H119" s="28" t="inlineStr">
        <is>
          <t>Actividades para esta semana</t>
        </is>
      </c>
      <c r="I119" s="1" t="n"/>
      <c r="J119" s="28" t="inlineStr">
        <is>
          <t>Sem</t>
        </is>
      </c>
      <c r="K119" s="28" t="inlineStr">
        <is>
          <t>Total HH</t>
        </is>
      </c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t="13" customHeight="1" s="25">
      <c r="A120" s="1" t="n"/>
      <c r="B120" s="1" t="n">
        <v>1</v>
      </c>
      <c r="C120" s="29" t="n"/>
      <c r="D120" s="1" t="n"/>
      <c r="E120" s="29" t="inlineStr">
        <is>
          <t>Fabricación PCB alimentación</t>
        </is>
      </c>
      <c r="F120" s="29" t="inlineStr">
        <is>
          <t>Lead time ~2 semanas</t>
        </is>
      </c>
      <c r="G120" s="1" t="n">
        <v>1</v>
      </c>
      <c r="H120" s="29" t="inlineStr">
        <is>
          <t>PCB alimentación: layout y routing [10 HH]</t>
        </is>
      </c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t="13" customHeight="1" s="25">
      <c r="A121" s="1" t="n"/>
      <c r="B121" s="1" t="n">
        <v>2</v>
      </c>
      <c r="C121" s="29" t="n"/>
      <c r="D121" s="1" t="n"/>
      <c r="E121" s="29" t="inlineStr">
        <is>
          <t>Validación energética condiciones reales</t>
        </is>
      </c>
      <c r="F121" s="29" t="inlineStr">
        <is>
          <t>Requiere PCB alimentación</t>
        </is>
      </c>
      <c r="G121" s="1" t="n">
        <v>2</v>
      </c>
      <c r="H121" s="29" t="inlineStr">
        <is>
          <t>Monitoreo fotovoltaico: sensor INA219 [4 HH]</t>
        </is>
      </c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t="13" customHeight="1" s="25">
      <c r="A122" s="1" t="n"/>
      <c r="B122" s="1" t="n">
        <v>3</v>
      </c>
      <c r="C122" s="29" t="n"/>
      <c r="D122" s="1" t="n"/>
      <c r="E122" s="29" t="inlineStr">
        <is>
          <t>Encapsulado IP65: diseño</t>
        </is>
      </c>
      <c r="F122" s="29" t="inlineStr">
        <is>
          <t>Requiere medidas finales</t>
        </is>
      </c>
      <c r="G122" s="1" t="n">
        <v>3</v>
      </c>
      <c r="H122" s="29" t="inlineStr">
        <is>
          <t>Protecciones eléctricas: TVS + Polyswitch [4 HH]</t>
        </is>
      </c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t="13" customHeight="1" s="25">
      <c r="A123" s="1" t="n"/>
      <c r="B123" s="1" t="n">
        <v>4</v>
      </c>
      <c r="C123" s="29" t="n"/>
      <c r="D123" s="1" t="n"/>
      <c r="E123" s="29" t="inlineStr">
        <is>
          <t>---</t>
        </is>
      </c>
      <c r="F123" s="29" t="n"/>
      <c r="G123" s="1" t="n">
        <v>4</v>
      </c>
      <c r="H123" s="29" t="inlineStr">
        <is>
          <t>---</t>
        </is>
      </c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t="13" customHeight="1" s="25">
      <c r="A124" s="1" t="n"/>
      <c r="B124" s="30" t="inlineStr">
        <is>
          <t>Total HH:</t>
        </is>
      </c>
      <c r="C124" s="1">
        <f>C120+C121+C122+C123</f>
        <v/>
      </c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t="13" customHeight="1" s="25">
      <c r="A125" s="1" t="n"/>
      <c r="B125" s="27" t="inlineStr">
        <is>
          <t>Semana 29-30: 14 al 25 Jul 2026</t>
        </is>
      </c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t="13" customHeight="1" s="25">
      <c r="A126" s="1" t="n"/>
      <c r="B126" s="28" t="inlineStr">
        <is>
          <t>Ítem</t>
        </is>
      </c>
      <c r="C126" s="28" t="inlineStr">
        <is>
          <t>Actividades Semana pasada</t>
        </is>
      </c>
      <c r="D126" s="28" t="inlineStr">
        <is>
          <t>Ítem</t>
        </is>
      </c>
      <c r="E126" s="28" t="inlineStr">
        <is>
          <t>Actividades Pendientes</t>
        </is>
      </c>
      <c r="F126" s="28" t="inlineStr">
        <is>
          <t>Motivo</t>
        </is>
      </c>
      <c r="G126" s="28" t="inlineStr">
        <is>
          <t>Ítem</t>
        </is>
      </c>
      <c r="H126" s="28" t="inlineStr">
        <is>
          <t>Actividades para esta semana</t>
        </is>
      </c>
      <c r="I126" s="1" t="n"/>
      <c r="J126" s="28" t="inlineStr">
        <is>
          <t>Sem</t>
        </is>
      </c>
      <c r="K126" s="28" t="inlineStr">
        <is>
          <t>Total HH</t>
        </is>
      </c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t="13" customHeight="1" s="25">
      <c r="A127" s="1" t="n"/>
      <c r="B127" s="1" t="n">
        <v>1</v>
      </c>
      <c r="C127" s="29" t="n"/>
      <c r="D127" s="1" t="n"/>
      <c r="E127" s="29" t="inlineStr">
        <is>
          <t>Ensamblaje PCB alimentación</t>
        </is>
      </c>
      <c r="F127" s="29" t="inlineStr">
        <is>
          <t>Esperar PCB fabricado</t>
        </is>
      </c>
      <c r="G127" s="1" t="n">
        <v>1</v>
      </c>
      <c r="H127" s="29" t="inlineStr">
        <is>
          <t>Fabricación PCB alimentación: Gerber + BOM [6 HH]</t>
        </is>
      </c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t="13" customHeight="1" s="25">
      <c r="A128" s="1" t="n"/>
      <c r="B128" s="1" t="n">
        <v>2</v>
      </c>
      <c r="C128" s="29" t="n"/>
      <c r="D128" s="1" t="n"/>
      <c r="E128" s="29" t="inlineStr">
        <is>
          <t>Pruebas integración eléctrica</t>
        </is>
      </c>
      <c r="F128" s="29" t="inlineStr">
        <is>
          <t>Requiere PCB ensamblado</t>
        </is>
      </c>
      <c r="G128" s="1" t="n">
        <v>2</v>
      </c>
      <c r="H128" s="29" t="inlineStr">
        <is>
          <t>Buffer local: integración con pipeline SD [6 HH]</t>
        </is>
      </c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t="13" customHeight="1" s="25">
      <c r="A129" s="1" t="n"/>
      <c r="B129" s="1" t="n">
        <v>3</v>
      </c>
      <c r="C129" s="29" t="n"/>
      <c r="D129" s="1" t="n"/>
      <c r="E129" s="29" t="inlineStr">
        <is>
          <t>Validación contra sistema referencia</t>
        </is>
      </c>
      <c r="F129" s="29" t="inlineStr">
        <is>
          <t>Setup de prueba acelerómetro</t>
        </is>
      </c>
      <c r="G129" s="1" t="n">
        <v>3</v>
      </c>
      <c r="H129" s="29" t="inlineStr">
        <is>
          <t>Encapsulado IP65: selección y compra [4 HH]</t>
        </is>
      </c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t="13" customHeight="1" s="25">
      <c r="A130" s="1" t="n"/>
      <c r="B130" s="1" t="n">
        <v>4</v>
      </c>
      <c r="C130" s="29" t="n"/>
      <c r="D130" s="1" t="n"/>
      <c r="E130" s="29" t="inlineStr">
        <is>
          <t>---</t>
        </is>
      </c>
      <c r="F130" s="29" t="n"/>
      <c r="G130" s="1" t="n">
        <v>4</v>
      </c>
      <c r="H130" s="29" t="inlineStr">
        <is>
          <t>Inicio métricas calidad señal (RSSI, SNR) [4 HH]</t>
        </is>
      </c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t="13" customHeight="1" s="25">
      <c r="A131" s="1" t="n"/>
      <c r="B131" s="30" t="inlineStr">
        <is>
          <t>Total HH:</t>
        </is>
      </c>
      <c r="C131" s="1">
        <f>C127+C128+C129+C130</f>
        <v/>
      </c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t="13" customHeight="1" s="2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t="13" customHeight="1" s="25">
      <c r="A133" s="1" t="n"/>
      <c r="B133" s="31" t="inlineStr">
        <is>
          <t>📌 Planificación generada desde GANTT 2026 — Semana actual: 25 (16-20 Jun 2026)</t>
        </is>
      </c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t="13" customHeight="1" s="25">
      <c r="A134" s="1" t="n"/>
      <c r="B134" s="31" t="inlineStr">
        <is>
          <t>📋 Próximas 6 semanas: P1 Adquisición (continua, DMA, calibración, NTP, buffer) + P1 Energía (baterías, PCB, protecciones)</t>
        </is>
      </c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t="13" customHeight="1" s="2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t="13" customHeight="1" s="2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t="13" customHeight="1" s="2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t="13" customHeight="1" s="2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t="13" customHeight="1" s="2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t="13" customHeight="1" s="2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t="13" customHeight="1" s="2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t="13" customHeight="1" s="2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t="13" customHeight="1" s="2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t="13" customHeight="1" s="2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t="13" customHeight="1" s="2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t="13" customHeight="1" s="2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t="13" customHeight="1" s="2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t="13" customHeight="1" s="2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t="13" customHeight="1" s="2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t="13" customHeight="1" s="2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t="13" customHeight="1" s="2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t="13" customHeight="1" s="2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t="13" customHeight="1" s="2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t="13" customHeight="1" s="2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t="13" customHeight="1" s="2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t="13" customHeight="1" s="2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t="13" customHeight="1" s="2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t="13" customHeight="1" s="2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t="13" customHeight="1" s="2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t="13" customHeight="1" s="2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t="13" customHeight="1" s="2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t="13" customHeight="1" s="2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t="13" customHeight="1" s="2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t="13" customHeight="1" s="2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t="13" customHeight="1" s="2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t="13" customHeight="1" s="2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t="13" customHeight="1" s="2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t="13" customHeight="1" s="2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t="13" customHeight="1" s="2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t="13" customHeight="1" s="2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t="13" customHeight="1" s="2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t="13" customHeight="1" s="2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t="13" customHeight="1" s="2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t="13" customHeight="1" s="2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t="13" customHeight="1" s="2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t="13" customHeight="1" s="2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t="13" customHeight="1" s="2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t="13" customHeight="1" s="2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t="13" customHeight="1" s="2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t="13" customHeight="1" s="2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t="13" customHeight="1" s="2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t="13" customHeight="1" s="2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t="13" customHeight="1" s="2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t="13" customHeight="1" s="2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t="13" customHeight="1" s="2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t="13" customHeight="1" s="2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t="13" customHeight="1" s="2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t="13" customHeight="1" s="2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t="13" customHeight="1" s="2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t="13" customHeight="1" s="2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t="13" customHeight="1" s="2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t="13" customHeight="1" s="2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t="13" customHeight="1" s="2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t="13" customHeight="1" s="2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t="13" customHeight="1" s="2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t="13" customHeight="1" s="2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t="13" customHeight="1" s="2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t="13" customHeight="1" s="2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t="13" customHeight="1" s="2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t="13" customHeight="1" s="2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t="13" customHeight="1" s="2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t="13" customHeight="1" s="2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t="13" customHeight="1" s="2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t="13" customHeight="1" s="2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t="13" customHeight="1" s="2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t="13" customHeight="1" s="2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t="13" customHeight="1" s="2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t="13" customHeight="1" s="2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t="13" customHeight="1" s="2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t="13" customHeight="1" s="2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t="13" customHeight="1" s="2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t="13" customHeight="1" s="2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t="13" customHeight="1" s="2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t="13" customHeight="1" s="2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t="13" customHeight="1" s="2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t="13" customHeight="1" s="2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t="13" customHeight="1" s="2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t="13" customHeight="1" s="2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t="13" customHeight="1" s="2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t="13" customHeight="1" s="2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t="13" customHeight="1" s="2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t="13" customHeight="1" s="2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t="13" customHeight="1" s="2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t="13" customHeight="1" s="2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t="13" customHeight="1" s="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t="13" customHeight="1" s="2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t="13" customHeight="1" s="25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t="13" customHeight="1" s="25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t="13" customHeight="1" s="25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t="13" customHeight="1" s="25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t="13" customHeight="1" s="25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t="13" customHeight="1" s="25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t="13" customHeight="1" s="25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t="13" customHeight="1" s="25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t="13" customHeight="1" s="2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t="13" customHeight="1" s="25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t="13" customHeight="1" s="25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t="13" customHeight="1" s="25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t="13" customHeight="1" s="25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t="13" customHeight="1" s="25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t="13" customHeight="1" s="25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t="13" customHeight="1" s="25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t="13" customHeight="1" s="25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t="13" customHeight="1" s="25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t="13" customHeight="1" s="2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t="13" customHeight="1" s="25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t="13" customHeight="1" s="25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t="13" customHeight="1" s="25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t="13" customHeight="1" s="25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t="13" customHeight="1" s="25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t="13" customHeight="1" s="25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t="13" customHeight="1" s="25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t="13" customHeight="1" s="25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t="13" customHeight="1" s="25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t="13" customHeight="1" s="2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t="13" customHeight="1" s="25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t="13" customHeight="1" s="25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t="13" customHeight="1" s="25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t="13" customHeight="1" s="25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t="13" customHeight="1" s="25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t="13" customHeight="1" s="25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t="13" customHeight="1" s="25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t="13" customHeight="1" s="25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t="13" customHeight="1" s="25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t="13" customHeight="1" s="2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t="13" customHeight="1" s="25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t="13" customHeight="1" s="25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t="13" customHeight="1" s="25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t="13" customHeight="1" s="25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t="13" customHeight="1" s="25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t="13" customHeight="1" s="25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t="13" customHeight="1" s="25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t="13" customHeight="1" s="25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t="13" customHeight="1" s="25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t="13" customHeight="1" s="2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t="13" customHeight="1" s="25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t="13" customHeight="1" s="25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t="13" customHeight="1" s="25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t="13" customHeight="1" s="25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t="13" customHeight="1" s="25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t="13" customHeight="1" s="25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t="13" customHeight="1" s="25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t="13" customHeight="1" s="25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t="13" customHeight="1" s="25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t="13" customHeight="1" s="2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t="13" customHeight="1" s="25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t="13" customHeight="1" s="25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t="13" customHeight="1" s="25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t="13" customHeight="1" s="25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t="13" customHeight="1" s="25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t="13" customHeight="1" s="25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t="13" customHeight="1" s="25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t="13" customHeight="1" s="25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t="13" customHeight="1" s="25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t="13" customHeight="1" s="2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t="13" customHeight="1" s="25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t="13" customHeight="1" s="25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t="13" customHeight="1" s="25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t="13" customHeight="1" s="25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t="13" customHeight="1" s="25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t="13" customHeight="1" s="25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t="13" customHeight="1" s="25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t="13" customHeight="1" s="25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t="13" customHeight="1" s="25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t="13" customHeight="1" s="2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t="13" customHeight="1" s="25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t="13" customHeight="1" s="25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t="13" customHeight="1" s="25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t="13" customHeight="1" s="25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t="13" customHeight="1" s="25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t="13" customHeight="1" s="25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t="13" customHeight="1" s="25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t="13" customHeight="1" s="25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t="13" customHeight="1" s="25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t="13" customHeight="1" s="2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t="13" customHeight="1" s="25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t="13" customHeight="1" s="25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t="13" customHeight="1" s="25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t="13" customHeight="1" s="25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t="13" customHeight="1" s="25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t="13" customHeight="1" s="25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t="13" customHeight="1" s="25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t="13" customHeight="1" s="25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t="13" customHeight="1" s="25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t="13" customHeight="1" s="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t="13" customHeight="1" s="25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t="13" customHeight="1" s="25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t="13" customHeight="1" s="25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t="13" customHeight="1" s="25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t="13" customHeight="1" s="25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t="13" customHeight="1" s="25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t="13" customHeight="1" s="25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t="13" customHeight="1" s="25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t="13" customHeight="1" s="25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t="13" customHeight="1" s="2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t="13" customHeight="1" s="25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t="13" customHeight="1" s="25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t="13" customHeight="1" s="25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t="13" customHeight="1" s="25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t="13" customHeight="1" s="25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t="13" customHeight="1" s="25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t="13" customHeight="1" s="25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t="13" customHeight="1" s="25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t="13" customHeight="1" s="25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t="13" customHeight="1" s="2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t="13" customHeight="1" s="25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t="13" customHeight="1" s="25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t="13" customHeight="1" s="25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t="13" customHeight="1" s="25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t="13" customHeight="1" s="25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t="13" customHeight="1" s="25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t="13" customHeight="1" s="25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t="13" customHeight="1" s="25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t="13" customHeight="1" s="25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t="13" customHeight="1" s="2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t="13" customHeight="1" s="25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t="13" customHeight="1" s="25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t="13" customHeight="1" s="25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t="13" customHeight="1" s="25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t="13" customHeight="1" s="25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t="13" customHeight="1" s="25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t="13" customHeight="1" s="25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t="13" customHeight="1" s="25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t="13" customHeight="1" s="25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t="13" customHeight="1" s="2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t="13" customHeight="1" s="25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t="13" customHeight="1" s="25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t="13" customHeight="1" s="25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t="13" customHeight="1" s="25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t="13" customHeight="1" s="25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t="13" customHeight="1" s="25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t="13" customHeight="1" s="25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t="13" customHeight="1" s="25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t="13" customHeight="1" s="25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t="13" customHeight="1" s="2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t="13" customHeight="1" s="25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t="13" customHeight="1" s="25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t="13" customHeight="1" s="25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t="13" customHeight="1" s="25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t="13" customHeight="1" s="25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t="13" customHeight="1" s="25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t="13" customHeight="1" s="25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t="13" customHeight="1" s="25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t="13" customHeight="1" s="25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t="13" customHeight="1" s="2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t="13" customHeight="1" s="25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t="13" customHeight="1" s="25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t="13" customHeight="1" s="25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t="13" customHeight="1" s="25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t="13" customHeight="1" s="25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t="13" customHeight="1" s="25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t="13" customHeight="1" s="25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t="13" customHeight="1" s="25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t="13" customHeight="1" s="25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t="13" customHeight="1" s="2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t="13" customHeight="1" s="25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t="13" customHeight="1" s="25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t="13" customHeight="1" s="25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t="13" customHeight="1" s="25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t="13" customHeight="1" s="25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t="13" customHeight="1" s="25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t="13" customHeight="1" s="25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t="13" customHeight="1" s="25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t="13" customHeight="1" s="25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t="13" customHeight="1" s="2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t="13" customHeight="1" s="25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t="13" customHeight="1" s="25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t="13" customHeight="1" s="25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t="13" customHeight="1" s="25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t="13" customHeight="1" s="25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t="13" customHeight="1" s="25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t="13" customHeight="1" s="25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t="13" customHeight="1" s="25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t="13" customHeight="1" s="25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t="13" customHeight="1" s="2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t="13" customHeight="1" s="25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t="13" customHeight="1" s="25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t="13" customHeight="1" s="25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t="13" customHeight="1" s="25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t="13" customHeight="1" s="25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t="13" customHeight="1" s="25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t="13" customHeight="1" s="25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t="13" customHeight="1" s="25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t="13" customHeight="1" s="25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t="13" customHeight="1" s="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t="13" customHeight="1" s="25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t="13" customHeight="1" s="25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t="13" customHeight="1" s="25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t="13" customHeight="1" s="25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t="13" customHeight="1" s="25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t="13" customHeight="1" s="25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t="13" customHeight="1" s="25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t="13" customHeight="1" s="25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t="13" customHeight="1" s="25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t="13" customHeight="1" s="2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t="13" customHeight="1" s="25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t="13" customHeight="1" s="25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t="13" customHeight="1" s="25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t="13" customHeight="1" s="25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t="13" customHeight="1" s="25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t="13" customHeight="1" s="25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t="13" customHeight="1" s="25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t="13" customHeight="1" s="25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t="13" customHeight="1" s="25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t="13" customHeight="1" s="2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t="13" customHeight="1" s="25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t="13" customHeight="1" s="25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t="13" customHeight="1" s="25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t="13" customHeight="1" s="25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t="13" customHeight="1" s="25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t="13" customHeight="1" s="25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t="13" customHeight="1" s="25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t="13" customHeight="1" s="25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t="13" customHeight="1" s="25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t="13" customHeight="1" s="2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t="13" customHeight="1" s="25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t="13" customHeight="1" s="25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t="13" customHeight="1" s="25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t="13" customHeight="1" s="25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t="13" customHeight="1" s="25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t="13" customHeight="1" s="25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t="13" customHeight="1" s="25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t="13" customHeight="1" s="25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t="13" customHeight="1" s="25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t="13" customHeight="1" s="2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t="13" customHeight="1" s="25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t="13" customHeight="1" s="25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t="13" customHeight="1" s="25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t="13" customHeight="1" s="25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t="13" customHeight="1" s="25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t="13" customHeight="1" s="25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t="13" customHeight="1" s="25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t="13" customHeight="1" s="25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t="13" customHeight="1" s="25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t="13" customHeight="1" s="2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t="13" customHeight="1" s="25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t="13" customHeight="1" s="25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t="13" customHeight="1" s="25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t="13" customHeight="1" s="25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t="13" customHeight="1" s="25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t="13" customHeight="1" s="25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t="13" customHeight="1" s="25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t="13" customHeight="1" s="25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t="13" customHeight="1" s="25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t="13" customHeight="1" s="2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t="13" customHeight="1" s="25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t="13" customHeight="1" s="25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t="13" customHeight="1" s="25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t="13" customHeight="1" s="25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t="13" customHeight="1" s="25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t="13" customHeight="1" s="25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t="13" customHeight="1" s="25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t="13" customHeight="1" s="25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t="13" customHeight="1" s="25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t="13" customHeight="1" s="2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t="13" customHeight="1" s="25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t="13" customHeight="1" s="25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t="13" customHeight="1" s="25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t="13" customHeight="1" s="25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t="13" customHeight="1" s="25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t="13" customHeight="1" s="25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3" customHeight="1" s="25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3" customHeight="1" s="25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3" customHeight="1" s="25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3" customHeight="1" s="2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3" customHeight="1" s="25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3" customHeight="1" s="25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3" customHeight="1" s="25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3" customHeight="1" s="25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3" customHeight="1" s="25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3" customHeight="1" s="25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3" customHeight="1" s="25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3" customHeight="1" s="25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3" customHeight="1" s="25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3" customHeight="1" s="2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3" customHeight="1" s="25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3" customHeight="1" s="25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3" customHeight="1" s="25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3" customHeight="1" s="25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3" customHeight="1" s="25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3" customHeight="1" s="25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3" customHeight="1" s="25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3" customHeight="1" s="25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3" customHeight="1" s="25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3" customHeight="1" s="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3" customHeight="1" s="25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3" customHeight="1" s="25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3" customHeight="1" s="25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3" customHeight="1" s="25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3" customHeight="1" s="25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3" customHeight="1" s="25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3" customHeight="1" s="25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3" customHeight="1" s="25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3" customHeight="1" s="25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3" customHeight="1" s="2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3" customHeight="1" s="25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3" customHeight="1" s="25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3" customHeight="1" s="25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3" customHeight="1" s="25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3" customHeight="1" s="25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3" customHeight="1" s="25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3" customHeight="1" s="25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3" customHeight="1" s="25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3" customHeight="1" s="25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3" customHeight="1" s="2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3" customHeight="1" s="25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3" customHeight="1" s="25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3" customHeight="1" s="25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3" customHeight="1" s="25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3" customHeight="1" s="25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3" customHeight="1" s="25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3" customHeight="1" s="25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3" customHeight="1" s="25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3" customHeight="1" s="25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3" customHeight="1" s="2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3" customHeight="1" s="25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3" customHeight="1" s="25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3" customHeight="1" s="25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3" customHeight="1" s="25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3" customHeight="1" s="25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3" customHeight="1" s="25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3" customHeight="1" s="25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3" customHeight="1" s="25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3" customHeight="1" s="25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3" customHeight="1" s="2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3" customHeight="1" s="25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3" customHeight="1" s="25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3" customHeight="1" s="25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3" customHeight="1" s="25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3" customHeight="1" s="25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3" customHeight="1" s="25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3" customHeight="1" s="25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3" customHeight="1" s="25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3" customHeight="1" s="25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3" customHeight="1" s="2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3" customHeight="1" s="25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3" customHeight="1" s="25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3" customHeight="1" s="25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3" customHeight="1" s="25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3" customHeight="1" s="25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3" customHeight="1" s="25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3" customHeight="1" s="25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3" customHeight="1" s="25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3" customHeight="1" s="25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3" customHeight="1" s="2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3" customHeight="1" s="25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3" customHeight="1" s="25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3" customHeight="1" s="25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3" customHeight="1" s="25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3" customHeight="1" s="25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3" customHeight="1" s="25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3" customHeight="1" s="25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3" customHeight="1" s="25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3" customHeight="1" s="25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3" customHeight="1" s="2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3" customHeight="1" s="25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3" customHeight="1" s="25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3" customHeight="1" s="25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3" customHeight="1" s="25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3" customHeight="1" s="25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3" customHeight="1" s="25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3" customHeight="1" s="25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3" customHeight="1" s="25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3" customHeight="1" s="25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3" customHeight="1" s="2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3" customHeight="1" s="25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3" customHeight="1" s="25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3" customHeight="1" s="25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3" customHeight="1" s="25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3" customHeight="1" s="25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3" customHeight="1" s="25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3" customHeight="1" s="25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3" customHeight="1" s="25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3" customHeight="1" s="25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3" customHeight="1" s="2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3" customHeight="1" s="25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3" customHeight="1" s="25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3" customHeight="1" s="25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3" customHeight="1" s="25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3" customHeight="1" s="25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3" customHeight="1" s="25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3" customHeight="1" s="25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3" customHeight="1" s="25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3" customHeight="1" s="25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3" customHeight="1" s="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3" customHeight="1" s="25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3" customHeight="1" s="25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3" customHeight="1" s="25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3" customHeight="1" s="25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3" customHeight="1" s="25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3" customHeight="1" s="25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3" customHeight="1" s="25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3" customHeight="1" s="25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3" customHeight="1" s="25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3" customHeight="1" s="2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3" customHeight="1" s="25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3" customHeight="1" s="25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3" customHeight="1" s="25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3" customHeight="1" s="25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3" customHeight="1" s="25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3" customHeight="1" s="25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3" customHeight="1" s="25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3" customHeight="1" s="25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3" customHeight="1" s="25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3" customHeight="1" s="2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3" customHeight="1" s="25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3" customHeight="1" s="25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3" customHeight="1" s="25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3" customHeight="1" s="25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3" customHeight="1" s="25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3" customHeight="1" s="25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3" customHeight="1" s="25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3" customHeight="1" s="25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3" customHeight="1" s="25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3" customHeight="1" s="2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3" customHeight="1" s="25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3" customHeight="1" s="25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3" customHeight="1" s="25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3" customHeight="1" s="25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3" customHeight="1" s="25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3" customHeight="1" s="25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3" customHeight="1" s="25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3" customHeight="1" s="25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3" customHeight="1" s="25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3" customHeight="1" s="2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3" customHeight="1" s="25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3" customHeight="1" s="25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3" customHeight="1" s="25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3" customHeight="1" s="25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3" customHeight="1" s="25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3" customHeight="1" s="25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3" customHeight="1" s="25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3" customHeight="1" s="25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3" customHeight="1" s="25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3" customHeight="1" s="2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3" customHeight="1" s="25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3" customHeight="1" s="25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3" customHeight="1" s="25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3" customHeight="1" s="25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3" customHeight="1" s="25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3" customHeight="1" s="25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3" customHeight="1" s="25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3" customHeight="1" s="25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3" customHeight="1" s="25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3" customHeight="1" s="2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3" customHeight="1" s="25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3" customHeight="1" s="25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3" customHeight="1" s="25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3" customHeight="1" s="25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3" customHeight="1" s="25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3" customHeight="1" s="25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3" customHeight="1" s="25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3" customHeight="1" s="25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3" customHeight="1" s="25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3" customHeight="1" s="2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3" customHeight="1" s="25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3" customHeight="1" s="25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3" customHeight="1" s="25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3" customHeight="1" s="25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3" customHeight="1" s="25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3" customHeight="1" s="25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3" customHeight="1" s="25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3" customHeight="1" s="25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3" customHeight="1" s="25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3" customHeight="1" s="2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3" customHeight="1" s="25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3" customHeight="1" s="25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3" customHeight="1" s="25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3" customHeight="1" s="25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3" customHeight="1" s="25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3" customHeight="1" s="25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3" customHeight="1" s="25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3" customHeight="1" s="25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3" customHeight="1" s="25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3" customHeight="1" s="2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3" customHeight="1" s="25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3" customHeight="1" s="25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3" customHeight="1" s="25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3" customHeight="1" s="25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3" customHeight="1" s="25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3" customHeight="1" s="25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3" customHeight="1" s="25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3" customHeight="1" s="25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3" customHeight="1" s="25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3" customHeight="1" s="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3" customHeight="1" s="25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3" customHeight="1" s="25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3" customHeight="1" s="25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3" customHeight="1" s="25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3" customHeight="1" s="25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3" customHeight="1" s="25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3" customHeight="1" s="25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3" customHeight="1" s="25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3" customHeight="1" s="25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3" customHeight="1" s="2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3" customHeight="1" s="25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3" customHeight="1" s="25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3" customHeight="1" s="25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3" customHeight="1" s="25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3" customHeight="1" s="25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3" customHeight="1" s="25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3" customHeight="1" s="25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3" customHeight="1" s="25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3" customHeight="1" s="25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3" customHeight="1" s="2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3" customHeight="1" s="25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3" customHeight="1" s="25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3" customHeight="1" s="25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3" customHeight="1" s="25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3" customHeight="1" s="25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3" customHeight="1" s="25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3" customHeight="1" s="25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3" customHeight="1" s="25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3" customHeight="1" s="25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3" customHeight="1" s="2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3" customHeight="1" s="25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3" customHeight="1" s="25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3" customHeight="1" s="25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3" customHeight="1" s="25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3" customHeight="1" s="25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3" customHeight="1" s="25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3" customHeight="1" s="25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3" customHeight="1" s="25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3" customHeight="1" s="25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3" customHeight="1" s="2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3" customHeight="1" s="25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3" customHeight="1" s="25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3" customHeight="1" s="25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3" customHeight="1" s="25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3" customHeight="1" s="25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3" customHeight="1" s="25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3" customHeight="1" s="25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3" customHeight="1" s="25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3" customHeight="1" s="25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3" customHeight="1" s="2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3" customHeight="1" s="25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3" customHeight="1" s="25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3" customHeight="1" s="25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3" customHeight="1" s="25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3" customHeight="1" s="25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3" customHeight="1" s="25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3" customHeight="1" s="25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3" customHeight="1" s="25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3" customHeight="1" s="25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3" customHeight="1" s="2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3" customHeight="1" s="25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3" customHeight="1" s="25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3" customHeight="1" s="25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3" customHeight="1" s="25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3" customHeight="1" s="25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3" customHeight="1" s="25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3" customHeight="1" s="25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3" customHeight="1" s="25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3" customHeight="1" s="25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3" customHeight="1" s="2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3" customHeight="1" s="25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3" customHeight="1" s="25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3" customHeight="1" s="25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3" customHeight="1" s="25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3" customHeight="1" s="25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3" customHeight="1" s="25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3" customHeight="1" s="25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3" customHeight="1" s="25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3" customHeight="1" s="25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3" customHeight="1" s="2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3" customHeight="1" s="25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3" customHeight="1" s="25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3" customHeight="1" s="25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3" customHeight="1" s="25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3" customHeight="1" s="25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3" customHeight="1" s="25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3" customHeight="1" s="25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3" customHeight="1" s="25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3" customHeight="1" s="25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3" customHeight="1" s="2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3" customHeight="1" s="25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3" customHeight="1" s="25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3" customHeight="1" s="25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3" customHeight="1" s="25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3" customHeight="1" s="25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3" customHeight="1" s="25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3" customHeight="1" s="25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3" customHeight="1" s="25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3" customHeight="1" s="25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3" customHeight="1" s="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3" customHeight="1" s="25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3" customHeight="1" s="25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3" customHeight="1" s="25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3" customHeight="1" s="25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3" customHeight="1" s="25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3" customHeight="1" s="25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3" customHeight="1" s="25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3" customHeight="1" s="25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3" customHeight="1" s="25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3" customHeight="1" s="2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3" customHeight="1" s="25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3" customHeight="1" s="25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3" customHeight="1" s="25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3" customHeight="1" s="25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3" customHeight="1" s="25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3" customHeight="1" s="25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3" customHeight="1" s="25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3" customHeight="1" s="25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3" customHeight="1" s="25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3" customHeight="1" s="2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3" customHeight="1" s="25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3" customHeight="1" s="25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3" customHeight="1" s="25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3" customHeight="1" s="25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3" customHeight="1" s="25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3" customHeight="1" s="25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3" customHeight="1" s="25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3" customHeight="1" s="25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3" customHeight="1" s="25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3" customHeight="1" s="2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3" customHeight="1" s="25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3" customHeight="1" s="25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3" customHeight="1" s="25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3" customHeight="1" s="25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3" customHeight="1" s="25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3" customHeight="1" s="25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3" customHeight="1" s="25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3" customHeight="1" s="25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3" customHeight="1" s="25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3" customHeight="1" s="2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3" customHeight="1" s="25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3" customHeight="1" s="25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3" customHeight="1" s="25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3" customHeight="1" s="25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3" customHeight="1" s="25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3" customHeight="1" s="25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3" customHeight="1" s="25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3" customHeight="1" s="25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3" customHeight="1" s="25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3" customHeight="1" s="2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3" customHeight="1" s="25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3" customHeight="1" s="25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3" customHeight="1" s="25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3" customHeight="1" s="25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3" customHeight="1" s="25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3" customHeight="1" s="25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3" customHeight="1" s="25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3" customHeight="1" s="25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3" customHeight="1" s="25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3" customHeight="1" s="2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3" customHeight="1" s="25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3" customHeight="1" s="25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3" customHeight="1" s="25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3" customHeight="1" s="25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3" customHeight="1" s="25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3" customHeight="1" s="25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3" customHeight="1" s="25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3" customHeight="1" s="25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3" customHeight="1" s="25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3" customHeight="1" s="2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3" customHeight="1" s="25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3" customHeight="1" s="25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3" customHeight="1" s="25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3" customHeight="1" s="25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3" customHeight="1" s="25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3" customHeight="1" s="25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3" customHeight="1" s="25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3" customHeight="1" s="25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3" customHeight="1" s="25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3" customHeight="1" s="2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3" customHeight="1" s="25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3" customHeight="1" s="25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3" customHeight="1" s="25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3" customHeight="1" s="25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3" customHeight="1" s="25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3" customHeight="1" s="25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3" customHeight="1" s="25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3" customHeight="1" s="25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3" customHeight="1" s="25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3" customHeight="1" s="2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3" customHeight="1" s="25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3" customHeight="1" s="25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3" customHeight="1" s="25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3" customHeight="1" s="25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3" customHeight="1" s="25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3" customHeight="1" s="25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3" customHeight="1" s="25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3" customHeight="1" s="25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3" customHeight="1" s="25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3" customHeight="1" s="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3" customHeight="1" s="25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3" customHeight="1" s="25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3" customHeight="1" s="25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3" customHeight="1" s="25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3" customHeight="1" s="25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3" customHeight="1" s="25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3" customHeight="1" s="25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3" customHeight="1" s="25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3" customHeight="1" s="25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3" customHeight="1" s="2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3" customHeight="1" s="25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3" customHeight="1" s="25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3" customHeight="1" s="25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3" customHeight="1" s="25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3" customHeight="1" s="25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3" customHeight="1" s="25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3" customHeight="1" s="25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3" customHeight="1" s="25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3" customHeight="1" s="25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3" customHeight="1" s="2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3" customHeight="1" s="25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3" customHeight="1" s="25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3" customHeight="1" s="25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3" customHeight="1" s="25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3" customHeight="1" s="25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3" customHeight="1" s="25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3" customHeight="1" s="25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3" customHeight="1" s="25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3" customHeight="1" s="25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3" customHeight="1" s="2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3" customHeight="1" s="25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3" customHeight="1" s="25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3" customHeight="1" s="25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3" customHeight="1" s="25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3" customHeight="1" s="25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3" customHeight="1" s="25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3" customHeight="1" s="25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3" customHeight="1" s="25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3" customHeight="1" s="25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3" customHeight="1" s="2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3" customHeight="1" s="25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3" customHeight="1" s="25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3" customHeight="1" s="25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3" customHeight="1" s="25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3" customHeight="1" s="25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3" customHeight="1" s="25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3" customHeight="1" s="25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3" customHeight="1" s="25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3" customHeight="1" s="25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3" customHeight="1" s="2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3" customHeight="1" s="25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3" customHeight="1" s="25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3" customHeight="1" s="25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3" customHeight="1" s="25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3" customHeight="1" s="25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3" customHeight="1" s="25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3" customHeight="1" s="25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3" customHeight="1" s="25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3" customHeight="1" s="25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3" customHeight="1" s="2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3" customHeight="1" s="25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3" customHeight="1" s="25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3" customHeight="1" s="25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3" customHeight="1" s="25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3" customHeight="1" s="25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3" customHeight="1" s="25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3" customHeight="1" s="25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3" customHeight="1" s="25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</sheetData>
  <mergeCells count="29">
    <mergeCell ref="B9:H9"/>
    <mergeCell ref="B65:H65"/>
    <mergeCell ref="W10:AA10"/>
    <mergeCell ref="B30:H30"/>
    <mergeCell ref="P10:T10"/>
    <mergeCell ref="W15:AA15"/>
    <mergeCell ref="B51:H51"/>
    <mergeCell ref="P9:T9"/>
    <mergeCell ref="P11:T11"/>
    <mergeCell ref="P8:T8"/>
    <mergeCell ref="B16:H16"/>
    <mergeCell ref="B58:H58"/>
    <mergeCell ref="W16:AA16"/>
    <mergeCell ref="W12:AA12"/>
    <mergeCell ref="P16:T16"/>
    <mergeCell ref="B70:H70"/>
    <mergeCell ref="B2:H2"/>
    <mergeCell ref="P13:T13"/>
    <mergeCell ref="B23:H23"/>
    <mergeCell ref="W9:AA9"/>
    <mergeCell ref="P12:T12"/>
    <mergeCell ref="W11:AA11"/>
    <mergeCell ref="W8:AA8"/>
    <mergeCell ref="B44:H44"/>
    <mergeCell ref="P15:T15"/>
    <mergeCell ref="W14:AA14"/>
    <mergeCell ref="P14:T14"/>
    <mergeCell ref="B37:H37"/>
    <mergeCell ref="W13:AA13"/>
  </mergeCells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2026-05-29T21:58:34Z</dcterms:created>
  <dcterms:modified xsi:type="dcterms:W3CDTF">2026-06-24T19:20:26Z</dcterms:modified>
  <cp:lastModifiedBy>Antonio Avendaño Sanhueza (Alumno)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hortcut_file_id" fmtid="{D5CDD505-2E9C-101B-9397-08002B2CF9AE}" pid="2">
    <vt:lpwstr>e4d4c4fc-d3b4-4010-892e-63b95a4bced8</vt:lpwstr>
  </property>
</Properties>
</file>