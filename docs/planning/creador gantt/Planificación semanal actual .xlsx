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420" yWindow="500" windowWidth="25380" windowHeight="17500" tabRatio="600" firstSheet="0" activeTab="0" autoFilterDateGrouping="1"/>
  </bookViews>
  <sheets>
    <sheet name="Planificación Semana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  <scheme val="minor"/>
    </font>
    <font>
      <name val="Arial"/>
      <family val="2"/>
      <b val="1"/>
      <sz val="11"/>
    </font>
    <font>
      <name val="Arial"/>
      <family val="2"/>
      <b val="1"/>
      <sz val="9"/>
    </font>
    <font>
      <name val="Arial"/>
      <family val="2"/>
      <sz val="9"/>
    </font>
    <font>
      <b val="1"/>
      <color rgb="001F3864"/>
      <sz val="10"/>
    </font>
    <font>
      <b val="1"/>
      <sz val="8"/>
    </font>
    <font>
      <b val="1"/>
      <sz val="9"/>
    </font>
    <font>
      <i val="1"/>
      <color rgb="002F5496"/>
      <sz val="9"/>
    </font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00D6DCE4"/>
        <bgColor rgb="00D6DCE4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3" fillId="2" borderId="3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center" vertical="top" wrapText="1"/>
    </xf>
    <xf numFmtId="0" fontId="7" fillId="0" borderId="0" applyAlignment="1" pivotButton="0" quotePrefix="0" xfId="0">
      <alignment horizontal="center" vertical="top" wrapText="1"/>
    </xf>
    <xf numFmtId="0" fontId="7" fillId="0" borderId="3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center" vertical="center"/>
    </xf>
    <xf numFmtId="0" fontId="9" fillId="0" borderId="4" applyAlignment="1" pivotButton="0" quotePrefix="0" xfId="0">
      <alignment vertical="center" wrapText="1"/>
    </xf>
    <xf numFmtId="0" fontId="10" fillId="0" borderId="0" applyAlignment="1" pivotButton="0" quotePrefix="0" xfId="0">
      <alignment horizontal="center" vertical="top"/>
    </xf>
    <xf numFmtId="0" fontId="10" fillId="0" borderId="0" applyAlignment="1" pivotButton="0" quotePrefix="0" xfId="0">
      <alignment vertical="top" wrapText="1"/>
    </xf>
    <xf numFmtId="0" fontId="9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vertical="center" wrapText="1"/>
    </xf>
    <xf numFmtId="0" fontId="2" fillId="0" borderId="3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2" pivotButton="0" quotePrefix="0" xfId="0"/>
    <xf numFmtId="0" fontId="8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4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2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2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Horas-Hombre por Semana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'Planificación Semanal'!$K$2</f>
              <strCache>
                <ptCount val="1"/>
                <pt idx="0">
                  <v>Total HH</v>
                </pt>
              </strCache>
            </strRef>
          </tx>
          <spPr>
            <a:solidFill>
              <a:srgbClr val="4472C4"/>
            </a:solidFill>
            <a:ln>
              <a:noFill/>
              <a:prstDash val="solid"/>
            </a:ln>
          </spPr>
          <invertIfNegative val="0"/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s-CL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'Planificación Semanal'!$J$3:$J$6</f>
              <strCache>
                <ptCount val="4"/>
                <pt idx="0">
                  <v>Sem 14</v>
                </pt>
                <pt idx="1">
                  <v>Sem 15</v>
                </pt>
                <pt idx="2">
                  <v>Sem 16</v>
                </pt>
                <pt idx="3">
                  <v>Sem 17</v>
                </pt>
              </strCache>
            </strRef>
          </cat>
          <val>
            <numRef>
              <f>'Planificación Semanal'!$K$3:$K$6</f>
              <numCache>
                <formatCode>General</formatCode>
                <ptCount val="4"/>
                <pt idx="0">
                  <v>10</v>
                </pt>
                <pt idx="1">
                  <v>8</v>
                </pt>
                <pt idx="2">
                  <v>8</v>
                </pt>
                <pt idx="3">
                  <v>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735294255"/>
        <axId val="735299007"/>
      </barChart>
      <catAx>
        <axId val="735294255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35299007"/>
        <crosses val="autoZero"/>
        <auto val="1"/>
        <lblAlgn val="ctr"/>
        <lblOffset val="100"/>
        <noMultiLvlLbl val="0"/>
      </catAx>
      <valAx>
        <axId val="735299007"/>
        <scaling>
          <orientation val="minMax"/>
          <max val="20"/>
          <min val="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HH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#.##0" sourceLinked="0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L"/>
          </a:p>
        </txPr>
        <crossAx val="735294255"/>
        <crosses val="autoZero"/>
        <crossBetween val="between"/>
        <majorUnit val="5"/>
      </valAx>
    </plotArea>
    <plotVisOnly val="1"/>
    <dispBlanksAs val="gap"/>
  </chart>
  <spPr>
    <a:solidFill>
      <a:schemeClr val="bg1"/>
    </a:solidFill>
    <a:ln w="25400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11</col>
      <colOff>112485</colOff>
      <row>0</row>
      <rowOff>190498</rowOff>
    </from>
    <to>
      <col>18</col>
      <colOff>39914</colOff>
      <row>13</row>
      <rowOff>27213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B993"/>
  <sheetViews>
    <sheetView tabSelected="1" topLeftCell="A50" zoomScale="70" zoomScaleNormal="70" workbookViewId="0">
      <selection activeCell="O21" sqref="O21"/>
    </sheetView>
  </sheetViews>
  <sheetFormatPr baseColWidth="10" defaultColWidth="12.6640625" defaultRowHeight="15.75" customHeight="1"/>
  <cols>
    <col width="4.33203125" customWidth="1" style="25" min="2" max="2"/>
    <col width="55" customWidth="1" style="25" min="3" max="3"/>
    <col width="6" customWidth="1" style="25" min="4" max="4"/>
    <col width="50" customWidth="1" style="25" min="5" max="6"/>
    <col width="6" customWidth="1" style="25" min="7" max="7"/>
    <col width="55" customWidth="1" style="25" min="8" max="8"/>
    <col width="4.33203125" customWidth="1" style="25" min="9" max="9"/>
    <col width="15" customWidth="1" style="25" min="10" max="10"/>
    <col width="6.1640625" customWidth="1" style="25" min="11" max="11"/>
    <col width="8.1640625" customWidth="1" style="25" min="12" max="12"/>
    <col width="6.1640625" customWidth="1" style="25" min="13" max="13"/>
    <col width="6.6640625" customWidth="1" style="25" min="14" max="14"/>
  </cols>
  <sheetData>
    <row r="1" ht="15.75" customHeight="1" s="2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.75" customHeight="1" s="25">
      <c r="A2" s="1" t="n"/>
      <c r="B2" s="21" t="inlineStr">
        <is>
          <t>Semana 14: 01 al 02 Abril</t>
        </is>
      </c>
      <c r="C2" s="22" t="n"/>
      <c r="D2" s="22" t="n"/>
      <c r="E2" s="22" t="n"/>
      <c r="F2" s="22" t="n"/>
      <c r="G2" s="22" t="n"/>
      <c r="H2" s="23" t="n"/>
      <c r="I2" s="1" t="n"/>
      <c r="J2" s="12" t="inlineStr">
        <is>
          <t>Semana</t>
        </is>
      </c>
      <c r="K2" s="12" t="inlineStr">
        <is>
          <t>Total HH</t>
        </is>
      </c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15.75" customHeight="1" s="25">
      <c r="A3" s="1" t="n"/>
      <c r="B3" s="4" t="inlineStr">
        <is>
          <t>Ítem</t>
        </is>
      </c>
      <c r="C3" s="4" t="inlineStr">
        <is>
          <t>Actividades Semana pasada</t>
        </is>
      </c>
      <c r="D3" s="4" t="inlineStr">
        <is>
          <t>Ítem</t>
        </is>
      </c>
      <c r="E3" s="4" t="inlineStr">
        <is>
          <t>Actividades Pendientes</t>
        </is>
      </c>
      <c r="F3" s="4" t="inlineStr">
        <is>
          <t>Motivo</t>
        </is>
      </c>
      <c r="G3" s="4" t="inlineStr">
        <is>
          <t>Ítem</t>
        </is>
      </c>
      <c r="H3" s="4" t="inlineStr">
        <is>
          <t xml:space="preserve">Actividades para esta semana </t>
        </is>
      </c>
      <c r="I3" s="1" t="n"/>
      <c r="J3" s="13" t="inlineStr">
        <is>
          <t>Sem 14</t>
        </is>
      </c>
      <c r="K3" s="13">
        <f>C8</f>
        <v/>
      </c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 ht="60" customHeight="1" s="25">
      <c r="A4" s="1" t="n"/>
      <c r="B4" s="5" t="n">
        <v>1</v>
      </c>
      <c r="C4" s="14" t="inlineStr">
        <is>
          <t>Investigación arquitectónica: Análisis de viabilidad de FreeRTOS en STM32F446RE vs. migración de hardware para adquisición concurrente. [6 HH]</t>
        </is>
      </c>
      <c r="D4" s="5" t="n">
        <v>1</v>
      </c>
      <c r="E4" s="5" t="inlineStr">
        <is>
          <t>Implementación inicial de FreeRTOS.</t>
        </is>
      </c>
      <c r="F4" s="5" t="inlineStr">
        <is>
          <t>Retraso por priorización de la fase de planificación y estructuración documental.</t>
        </is>
      </c>
      <c r="G4" s="5" t="n">
        <v>1</v>
      </c>
      <c r="H4" s="5" t="inlineStr">
        <is>
          <t>Levantar entorno de compilación e iniciar pruebas de RTOS.</t>
        </is>
      </c>
      <c r="I4" s="1" t="n"/>
      <c r="J4" s="13" t="inlineStr">
        <is>
          <t>Sem 15</t>
        </is>
      </c>
      <c r="K4" s="13">
        <f>C15</f>
        <v/>
      </c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</row>
    <row r="5" ht="60" customHeight="1" s="25">
      <c r="A5" s="1" t="n"/>
      <c r="B5" s="5" t="n">
        <v>2</v>
      </c>
      <c r="C5" s="14" t="inlineStr">
        <is>
          <t>Planificación de proyecto: Definición de hitos técnicos (DMA, IWDG) y estructuración del roadmap para el diseño de PCB obligatorio. [3 HH]</t>
        </is>
      </c>
      <c r="D5" s="5" t="n">
        <v>2</v>
      </c>
      <c r="E5" s="5" t="n"/>
      <c r="F5" s="5" t="n"/>
      <c r="G5" s="5" t="n">
        <v>2</v>
      </c>
      <c r="H5" s="5" t="n"/>
      <c r="I5" s="1" t="n"/>
      <c r="J5" s="13" t="inlineStr">
        <is>
          <t>Sem 16</t>
        </is>
      </c>
      <c r="K5" s="13">
        <f>C22</f>
        <v/>
      </c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</row>
    <row r="6" ht="60" customHeight="1" s="25">
      <c r="A6" s="1" t="n"/>
      <c r="B6" s="5" t="n">
        <v>3</v>
      </c>
      <c r="C6" s="14" t="inlineStr">
        <is>
          <t>Despliegue de infraestructura: Configuración, configuración de puertos y pruebas de estabilidad del entorno de desarrollo remoto. [1 HH]</t>
        </is>
      </c>
      <c r="D6" s="5" t="n">
        <v>3</v>
      </c>
      <c r="E6" s="5" t="n"/>
      <c r="F6" s="5" t="n"/>
      <c r="G6" s="5" t="n">
        <v>3</v>
      </c>
      <c r="H6" s="5" t="n"/>
      <c r="I6" s="1" t="n"/>
      <c r="J6" s="13" t="inlineStr">
        <is>
          <t>Sem 17</t>
        </is>
      </c>
      <c r="K6" s="13">
        <f>C29</f>
        <v/>
      </c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</row>
    <row r="7" ht="15.75" customHeight="1" s="25">
      <c r="A7" s="1" t="n"/>
      <c r="B7" s="5" t="n">
        <v>4</v>
      </c>
      <c r="C7" s="6" t="n"/>
      <c r="D7" s="5" t="n">
        <v>4</v>
      </c>
      <c r="E7" s="5" t="n"/>
      <c r="F7" s="5" t="n"/>
      <c r="G7" s="5" t="n">
        <v>4</v>
      </c>
      <c r="H7" s="5" t="n"/>
      <c r="I7" s="1" t="n"/>
      <c r="J7" s="15" t="inlineStr">
        <is>
          <t>Sem 18</t>
        </is>
      </c>
      <c r="K7" s="15">
        <f>C36</f>
        <v/>
      </c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</row>
    <row r="8" ht="15.75" customHeight="1" s="25">
      <c r="A8" s="1" t="n"/>
      <c r="B8" s="10" t="inlineStr">
        <is>
          <t>Total HH:</t>
        </is>
      </c>
      <c r="C8" s="11">
        <f t="array" ref="C8">SUMPRODUCT(IFERROR(VALUE(MID(C4:C7,FIND("[",C4:C7)+1,FIND(" HH]",C4:C7)-FIND("[",C4:C7)-1)),0))</f>
        <v/>
      </c>
      <c r="D8" s="7" t="n"/>
      <c r="E8" s="7" t="n"/>
      <c r="F8" s="7" t="n"/>
      <c r="G8" s="7" t="n"/>
      <c r="H8" s="7" t="n"/>
      <c r="I8" s="1" t="n"/>
      <c r="J8" s="15" t="inlineStr">
        <is>
          <t>Sem 19</t>
        </is>
      </c>
      <c r="K8" s="15">
        <f>C43</f>
        <v/>
      </c>
      <c r="L8" s="26" t="n"/>
      <c r="M8" s="26" t="n"/>
      <c r="N8" s="26" t="n"/>
      <c r="O8" s="3" t="n"/>
      <c r="P8" s="26" t="n"/>
      <c r="U8" s="26" t="n"/>
      <c r="V8" s="3" t="n"/>
      <c r="W8" s="26" t="n"/>
      <c r="AB8" s="1" t="n"/>
    </row>
    <row r="9" ht="15.75" customHeight="1" s="25">
      <c r="A9" s="1" t="n"/>
      <c r="B9" s="21" t="inlineStr">
        <is>
          <t>Semana 15: 06 al 10 Abril</t>
        </is>
      </c>
      <c r="C9" s="22" t="n"/>
      <c r="D9" s="22" t="n"/>
      <c r="E9" s="22" t="n"/>
      <c r="F9" s="22" t="n"/>
      <c r="G9" s="22" t="n"/>
      <c r="H9" s="23" t="n"/>
      <c r="I9" s="1" t="n"/>
      <c r="J9" s="15" t="inlineStr">
        <is>
          <t>Sem 20</t>
        </is>
      </c>
      <c r="K9" s="15">
        <f>C50</f>
        <v/>
      </c>
      <c r="L9" s="26" t="n"/>
      <c r="M9" s="26" t="n"/>
      <c r="N9" s="26" t="n"/>
      <c r="O9" s="3" t="n"/>
      <c r="P9" s="26" t="n"/>
      <c r="U9" s="26" t="n"/>
      <c r="V9" s="3" t="n"/>
      <c r="W9" s="26" t="n"/>
      <c r="AB9" s="1" t="n"/>
    </row>
    <row r="10" ht="15.75" customHeight="1" s="25">
      <c r="A10" s="1" t="n"/>
      <c r="B10" s="4" t="inlineStr">
        <is>
          <t>Ítem</t>
        </is>
      </c>
      <c r="C10" s="4" t="inlineStr">
        <is>
          <t>Actividades Semana pasada</t>
        </is>
      </c>
      <c r="D10" s="4" t="inlineStr">
        <is>
          <t>Ítem</t>
        </is>
      </c>
      <c r="E10" s="4" t="inlineStr">
        <is>
          <t>Actividades Pendientes</t>
        </is>
      </c>
      <c r="F10" s="4" t="inlineStr">
        <is>
          <t>Motivo</t>
        </is>
      </c>
      <c r="G10" s="4" t="inlineStr">
        <is>
          <t>Ítem</t>
        </is>
      </c>
      <c r="H10" s="4" t="inlineStr">
        <is>
          <t xml:space="preserve">Actividades para esta semana </t>
        </is>
      </c>
      <c r="I10" s="1" t="n"/>
      <c r="J10" s="15" t="inlineStr">
        <is>
          <t>Sem 21</t>
        </is>
      </c>
      <c r="K10" s="15">
        <f>C57</f>
        <v/>
      </c>
      <c r="L10" s="26" t="n"/>
      <c r="M10" s="26" t="n"/>
      <c r="N10" s="26" t="n"/>
      <c r="O10" s="3" t="n"/>
      <c r="P10" s="26" t="n"/>
      <c r="U10" s="26" t="n"/>
      <c r="V10" s="3" t="n"/>
      <c r="W10" s="26" t="n"/>
      <c r="AB10" s="1" t="n"/>
    </row>
    <row r="11" ht="60" customHeight="1" s="25">
      <c r="A11" s="1" t="n"/>
      <c r="B11" s="5" t="n">
        <v>1</v>
      </c>
      <c r="C11" s="14" t="inlineStr">
        <is>
          <t>Diagnóstico de software: Análisis de logs de OpenOCD y ST-LINK GDB Server (Timeouts) para descartar fallos de IDE, red o firewall. [6 HH]</t>
        </is>
      </c>
      <c r="D11" s="5" t="n">
        <v>1</v>
      </c>
      <c r="E11" s="5" t="inlineStr">
        <is>
          <t>Implementación de CMSIS v2.x.</t>
        </is>
      </c>
      <c r="F11" s="5" t="inlineStr">
        <is>
          <t>Bloqueo total por falla eléctrica física en el hardware (MCU desenergizado).</t>
        </is>
      </c>
      <c r="G11" s="5" t="n">
        <v>1</v>
      </c>
      <c r="H11" s="8" t="inlineStr">
        <is>
          <t>Validar estabilidad de hardware post-arreglo e iniciar migración a CMSIS v2.x. Viernes, reunión de avance: FR, RA, SA, AA, JM.</t>
        </is>
      </c>
      <c r="I11" s="1" t="n"/>
      <c r="J11" s="15" t="inlineStr">
        <is>
          <t>Sem 22</t>
        </is>
      </c>
      <c r="K11" s="15">
        <f>C64</f>
        <v/>
      </c>
      <c r="L11" s="26" t="n"/>
      <c r="M11" s="26" t="n"/>
      <c r="N11" s="26" t="n"/>
      <c r="O11" s="3" t="n"/>
      <c r="P11" s="26" t="n"/>
      <c r="U11" s="26" t="n"/>
      <c r="V11" s="3" t="n"/>
      <c r="W11" s="26" t="n"/>
      <c r="AB11" s="1" t="n"/>
    </row>
    <row r="12" ht="60" customHeight="1" s="25">
      <c r="A12" s="1" t="n"/>
      <c r="B12" s="5" t="n">
        <v>2</v>
      </c>
      <c r="C12" s="14" t="inlineStr">
        <is>
          <t>Inspección eléctrica física: Medición de continuidad y caída de tensión en pines VDD/GND del MCU (detección de estado inoperativo a 0.08V). [0.5 HH]</t>
        </is>
      </c>
      <c r="D12" s="5" t="n">
        <v>2</v>
      </c>
      <c r="E12" s="5" t="n"/>
      <c r="F12" s="5" t="n"/>
      <c r="G12" s="5" t="n">
        <v>2</v>
      </c>
      <c r="H12" s="5" t="n"/>
      <c r="I12" s="1" t="n"/>
      <c r="J12" s="1" t="n"/>
      <c r="K12" s="26" t="n"/>
      <c r="L12" s="26" t="n"/>
      <c r="M12" s="26" t="n"/>
      <c r="N12" s="26" t="n"/>
      <c r="O12" s="3" t="n"/>
      <c r="P12" s="26" t="n"/>
      <c r="U12" s="26" t="n"/>
      <c r="V12" s="3" t="n"/>
      <c r="W12" s="26" t="n"/>
      <c r="AB12" s="1" t="n"/>
    </row>
    <row r="13" ht="15.75" customHeight="1" s="25">
      <c r="A13" s="1" t="n"/>
      <c r="B13" s="5" t="n">
        <v>3</v>
      </c>
      <c r="C13" s="14" t="inlineStr">
        <is>
          <t>Análisis de esquemáticos: Revisión de documentación técnica de la placa Nucleo para aislamiento de falla y reubicación del jumper de poder. [2 HH]</t>
        </is>
      </c>
      <c r="D13" s="5" t="n">
        <v>3</v>
      </c>
      <c r="E13" s="5" t="n"/>
      <c r="F13" s="5" t="n"/>
      <c r="G13" s="5" t="n">
        <v>3</v>
      </c>
      <c r="H13" s="5" t="n"/>
      <c r="I13" s="1" t="n"/>
      <c r="J13" s="1" t="n"/>
      <c r="K13" s="26" t="n"/>
      <c r="L13" s="26" t="n"/>
      <c r="M13" s="26" t="n"/>
      <c r="N13" s="26" t="n"/>
      <c r="O13" s="3" t="n"/>
      <c r="P13" s="26" t="n"/>
      <c r="U13" s="26" t="n"/>
      <c r="V13" s="3" t="n"/>
      <c r="W13" s="26" t="n"/>
      <c r="AB13" s="1" t="n"/>
    </row>
    <row r="14" ht="15.75" customHeight="1" s="25">
      <c r="A14" s="1" t="n"/>
      <c r="B14" s="5" t="n">
        <v>4</v>
      </c>
      <c r="C14" s="6" t="n"/>
      <c r="D14" s="5" t="n">
        <v>4</v>
      </c>
      <c r="E14" s="5" t="n"/>
      <c r="F14" s="5" t="n"/>
      <c r="G14" s="5" t="n">
        <v>4</v>
      </c>
      <c r="H14" s="5" t="n"/>
      <c r="I14" s="1" t="n"/>
      <c r="J14" s="1" t="n"/>
      <c r="K14" s="26" t="n"/>
      <c r="L14" s="26" t="n"/>
      <c r="M14" s="26" t="n"/>
      <c r="N14" s="26" t="n"/>
      <c r="O14" s="3" t="n"/>
      <c r="P14" s="26" t="n"/>
      <c r="U14" s="26" t="n"/>
      <c r="V14" s="3" t="n"/>
      <c r="W14" s="26" t="n"/>
      <c r="AB14" s="1" t="n"/>
    </row>
    <row r="15" ht="15.75" customHeight="1" s="25">
      <c r="A15" s="1" t="n"/>
      <c r="B15" s="10" t="inlineStr">
        <is>
          <t>Total HH:</t>
        </is>
      </c>
      <c r="C15" s="11">
        <f t="array" ref="C15">SUMPRODUCT(IFERROR(VALUE(MID(C11:C14,FIND("[",C11:C14)+1,FIND(" HH]",C11:C14)-FIND("[",C11:C14)-1)),0))</f>
        <v/>
      </c>
      <c r="D15" s="7" t="n"/>
      <c r="E15" s="7" t="n"/>
      <c r="F15" s="7" t="n"/>
      <c r="G15" s="7" t="n"/>
      <c r="H15" s="7" t="n"/>
      <c r="I15" s="1" t="n"/>
      <c r="J15" s="1" t="n"/>
      <c r="K15" s="26" t="n"/>
      <c r="L15" s="26" t="n"/>
      <c r="M15" s="26" t="n"/>
      <c r="N15" s="26" t="n"/>
      <c r="O15" s="3" t="n"/>
      <c r="P15" s="26" t="n"/>
      <c r="U15" s="26" t="n"/>
      <c r="V15" s="3" t="n"/>
      <c r="W15" s="26" t="n"/>
      <c r="AB15" s="1" t="n"/>
    </row>
    <row r="16" ht="15.75" customHeight="1" s="25">
      <c r="A16" s="1" t="n"/>
      <c r="B16" s="21" t="inlineStr">
        <is>
          <t>Semana 16: 13 al 17 Abril</t>
        </is>
      </c>
      <c r="C16" s="22" t="n"/>
      <c r="D16" s="22" t="n"/>
      <c r="E16" s="22" t="n"/>
      <c r="F16" s="22" t="n"/>
      <c r="G16" s="22" t="n"/>
      <c r="H16" s="23" t="n"/>
      <c r="I16" s="1" t="n"/>
      <c r="J16" s="1" t="n"/>
      <c r="K16" s="26" t="n"/>
      <c r="L16" s="26" t="n"/>
      <c r="M16" s="26" t="n"/>
      <c r="N16" s="26" t="n"/>
      <c r="O16" s="3" t="n"/>
      <c r="P16" s="26" t="n"/>
      <c r="U16" s="26" t="n"/>
      <c r="V16" s="3" t="n"/>
      <c r="W16" s="26" t="n"/>
      <c r="AB16" s="1" t="n"/>
    </row>
    <row r="17" ht="15.75" customHeight="1" s="25">
      <c r="A17" s="1" t="n"/>
      <c r="B17" s="4" t="inlineStr">
        <is>
          <t>Ítem</t>
        </is>
      </c>
      <c r="C17" s="4" t="inlineStr">
        <is>
          <t>Actividades Semana pasada</t>
        </is>
      </c>
      <c r="D17" s="4" t="inlineStr">
        <is>
          <t>Ítem</t>
        </is>
      </c>
      <c r="E17" s="4" t="inlineStr">
        <is>
          <t>Actividades Pendientes</t>
        </is>
      </c>
      <c r="F17" s="4" t="inlineStr">
        <is>
          <t>Motivo</t>
        </is>
      </c>
      <c r="G17" s="4" t="inlineStr">
        <is>
          <t>Ítem</t>
        </is>
      </c>
      <c r="H17" s="4" t="inlineStr">
        <is>
          <t xml:space="preserve">Actividades para esta semana </t>
        </is>
      </c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</row>
    <row r="18" ht="60" customHeight="1" s="25">
      <c r="A18" s="1" t="n"/>
      <c r="B18" s="5" t="n">
        <v>1</v>
      </c>
      <c r="C18" s="6" t="inlineStr">
        <is>
          <t>Control de calidad (QA): Recompilación del firmware bare-metal y validación operativa en consola serial post-reparación. [3 HH]</t>
        </is>
      </c>
      <c r="D18" s="5" t="n">
        <v>1</v>
      </c>
      <c r="E18" s="5" t="inlineStr">
        <is>
          <t>Codificación de tareas de sensor y módem en C.</t>
        </is>
      </c>
      <c r="F18" s="5" t="inlineStr">
        <is>
          <t>Tiempo asignado íntegramente a la estructuración de la documentación y arquitectura técnica previa a la codificación.</t>
        </is>
      </c>
      <c r="G18" s="5" t="n">
        <v>1</v>
      </c>
      <c r="H18" s="5" t="inlineStr">
        <is>
          <t>Configurar STM32CubeMX (TIM1, prioridades) y programar esqueletos de tareas.</t>
        </is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</row>
    <row r="19" ht="60" customHeight="1" s="25">
      <c r="A19" s="1" t="n"/>
      <c r="B19" s="5" t="n">
        <v>2</v>
      </c>
      <c r="C19" s="6" t="inlineStr">
        <is>
          <t>Capacitación técnica: Estudio de la API CMSIS-RTOS v2 y análisis de implementaciones de referencia para la familia STM32F4. [5 HH]</t>
        </is>
      </c>
      <c r="D19" s="5" t="n">
        <v>2</v>
      </c>
      <c r="E19" s="5" t="n"/>
      <c r="F19" s="5" t="n"/>
      <c r="G19" s="5" t="n">
        <v>2</v>
      </c>
      <c r="H19" s="5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</row>
    <row r="20" ht="15.75" customHeight="1" s="25">
      <c r="A20" s="1" t="n"/>
      <c r="B20" s="5" t="n">
        <v>3</v>
      </c>
      <c r="C20" s="14" t="inlineStr">
        <is>
          <t>Arquitectura de software: Diseño de estados de tareas, primitivas de sincronización y redacción de la documentación de migración (.md). [2.5 HH]</t>
        </is>
      </c>
      <c r="D20" s="5" t="n">
        <v>3</v>
      </c>
      <c r="E20" s="5" t="n"/>
      <c r="F20" s="5" t="n"/>
      <c r="G20" s="5" t="n">
        <v>3</v>
      </c>
      <c r="H20" s="5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</row>
    <row r="21" ht="15.75" customHeight="1" s="25">
      <c r="A21" s="1" t="n"/>
      <c r="B21" s="5" t="n">
        <v>4</v>
      </c>
      <c r="C21" s="6" t="n"/>
      <c r="D21" s="5" t="n">
        <v>4</v>
      </c>
      <c r="E21" s="5" t="n"/>
      <c r="F21" s="5" t="n"/>
      <c r="G21" s="5" t="n">
        <v>4</v>
      </c>
      <c r="H21" s="5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</row>
    <row r="22" ht="15.75" customHeight="1" s="25">
      <c r="A22" s="1" t="n"/>
      <c r="B22" s="10" t="inlineStr">
        <is>
          <t>Total HH:</t>
        </is>
      </c>
      <c r="C22" s="9">
        <f t="array" ref="C22">SUMPRODUCT(IFERROR(VALUE(MID(C18:C21,FIND("[",C18:C21)+1,FIND(" HH]",C18:C21)-FIND("[",C18:C21)-1)),0))</f>
        <v/>
      </c>
      <c r="D22" s="7" t="n"/>
      <c r="E22" s="7" t="n"/>
      <c r="F22" s="7" t="n"/>
      <c r="G22" s="7" t="n"/>
      <c r="H22" s="7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</row>
    <row r="23" ht="15.75" customHeight="1" s="25">
      <c r="A23" s="1" t="n"/>
      <c r="B23" s="21" t="inlineStr">
        <is>
          <t>Semana 17: 20 al 24 Abril</t>
        </is>
      </c>
      <c r="C23" s="22" t="n"/>
      <c r="D23" s="22" t="n"/>
      <c r="E23" s="22" t="n"/>
      <c r="F23" s="22" t="n"/>
      <c r="G23" s="22" t="n"/>
      <c r="H23" s="23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</row>
    <row r="24" ht="15.75" customHeight="1" s="25">
      <c r="A24" s="1" t="n"/>
      <c r="B24" s="4" t="inlineStr">
        <is>
          <t>Ítem</t>
        </is>
      </c>
      <c r="C24" s="4" t="inlineStr">
        <is>
          <t>Actividades Semana pasada</t>
        </is>
      </c>
      <c r="D24" s="4" t="inlineStr">
        <is>
          <t>Ítem</t>
        </is>
      </c>
      <c r="E24" s="4" t="inlineStr">
        <is>
          <t>Actividades Pendientes</t>
        </is>
      </c>
      <c r="F24" s="4" t="inlineStr">
        <is>
          <t>Motivo</t>
        </is>
      </c>
      <c r="G24" s="4" t="inlineStr">
        <is>
          <t>Ítem</t>
        </is>
      </c>
      <c r="H24" s="4" t="inlineStr">
        <is>
          <t xml:space="preserve">Actividades para esta semana </t>
        </is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</row>
    <row r="25" ht="60" customHeight="1" s="25">
      <c r="A25" s="1" t="n"/>
      <c r="B25" s="5" t="n">
        <v>1</v>
      </c>
      <c r="C25" s="14" t="inlineStr">
        <is>
          <t>Configuración de entorno: Migración de base de tiempo a TIM1, activación de middleware FreeRTOS en CubeMX y generación de árbol de código. [1 HH]</t>
        </is>
      </c>
      <c r="D25" s="5" t="n">
        <v>1</v>
      </c>
      <c r="E25" s="5" t="inlineStr">
        <is>
          <t>Integración de NVIC y refactorización de interrupción Wake-on-Motion.</t>
        </is>
      </c>
      <c r="F25" s="5" t="inlineStr">
        <is>
          <t>Programado para la fase final del ciclo actual tras consolidar la estructura del kernel.</t>
        </is>
      </c>
      <c r="G25" s="5" t="n">
        <v>1</v>
      </c>
      <c r="H25" s="8" t="inlineStr">
        <is>
          <t>Finalizar lógica de interrupciones, resolver errores de compilación y ejecutar RTOS en la placa. Viernes, reunión de avance: FR, RA, SA, AA, JM.</t>
        </is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</row>
    <row r="26" ht="60" customHeight="1" s="25">
      <c r="A26" s="1" t="n"/>
      <c r="B26" s="5" t="n">
        <v>2</v>
      </c>
      <c r="C26" s="14" t="inlineStr">
        <is>
          <t>Inicialización RTOS: Desarrollo de rtos_init.c y definición de objetos de concurrencia (mutex, banderas de eventos, colas de mensajes). [1 HH]</t>
        </is>
      </c>
      <c r="D26" s="5" t="n">
        <v>2</v>
      </c>
      <c r="E26" s="5" t="inlineStr">
        <is>
          <t>Pruebas de compilación y ejecución del RTOS en hardware.</t>
        </is>
      </c>
      <c r="F26" s="5" t="inlineStr">
        <is>
          <t>Bloqueado a la espera de la finalización de la integración de interrupciones (NVIC).</t>
        </is>
      </c>
      <c r="G26" s="5" t="n">
        <v>2</v>
      </c>
      <c r="H26" s="5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</row>
    <row r="27" ht="15.75" customHeight="1" s="25">
      <c r="A27" s="1" t="n"/>
      <c r="B27" s="5" t="n">
        <v>3</v>
      </c>
      <c r="C27" s="14" t="inlineStr">
        <is>
          <t>Estructuración de tareas: Creación de stubs para tareas principales y cálculo de asignación de memoria de pila (Stack/Heap). [1 HH]</t>
        </is>
      </c>
      <c r="D27" s="5" t="n">
        <v>3</v>
      </c>
      <c r="E27" s="5" t="n"/>
      <c r="F27" s="5" t="n"/>
      <c r="G27" s="5" t="n">
        <v>3</v>
      </c>
      <c r="H27" s="5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</row>
    <row r="28" ht="15.75" customHeight="1" s="25">
      <c r="A28" s="1" t="n"/>
      <c r="B28" s="5" t="n">
        <v>4</v>
      </c>
      <c r="C28" s="6" t="n"/>
      <c r="D28" s="5" t="n">
        <v>4</v>
      </c>
      <c r="E28" s="5" t="n"/>
      <c r="F28" s="5" t="n"/>
      <c r="G28" s="5" t="n">
        <v>4</v>
      </c>
      <c r="H28" s="5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</row>
    <row r="29" ht="15.75" customHeight="1" s="25">
      <c r="A29" s="1" t="n"/>
      <c r="B29" s="10" t="inlineStr">
        <is>
          <t>Total HH:</t>
        </is>
      </c>
      <c r="C29" s="9">
        <f t="array" ref="C29">SUMPRODUCT(IFERROR(VALUE(MID(C25:C28,FIND("[",C25:C28)+1,FIND(" HH]",C25:C28)-FIND("[",C25:C28)-1)),0))</f>
        <v/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</row>
    <row r="30" ht="15.75" customHeight="1" s="25">
      <c r="A30" s="1" t="n"/>
      <c r="B30" s="24" t="inlineStr">
        <is>
          <t>Semana 18: 27 Abr al 01 May</t>
        </is>
      </c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</row>
    <row r="31" ht="15.75" customHeight="1" s="25">
      <c r="A31" s="1" t="n"/>
      <c r="B31" s="16" t="inlineStr">
        <is>
          <t>Ítem</t>
        </is>
      </c>
      <c r="C31" s="16" t="inlineStr">
        <is>
          <t>Actividades Semana pasada</t>
        </is>
      </c>
      <c r="D31" s="16" t="inlineStr">
        <is>
          <t>Ítem</t>
        </is>
      </c>
      <c r="E31" s="16" t="inlineStr">
        <is>
          <t>Actividades Pendientes</t>
        </is>
      </c>
      <c r="F31" s="16" t="inlineStr">
        <is>
          <t>Motivo</t>
        </is>
      </c>
      <c r="G31" s="16" t="inlineStr">
        <is>
          <t>Ítem</t>
        </is>
      </c>
      <c r="H31" s="16" t="inlineStr">
        <is>
          <t>Actividades para esta semana</t>
        </is>
      </c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</row>
    <row r="32" ht="60" customHeight="1" s="25">
      <c r="A32" s="1" t="n"/>
      <c r="B32" s="17" t="inlineStr">
        <is>
          <t>1</t>
        </is>
      </c>
      <c r="C32" s="18" t="inlineStr">
        <is>
          <t>Migración CMSIS-RTOS v2: Estudio de la API CMSIS-RTOS v2 y análisis de implementaciones de referencia para la familia STM32F4. Revisión de documentación técnica de FreeRTOS en STM32F446RE. [3 HH]</t>
        </is>
      </c>
      <c r="D32" s="17" t="inlineStr">
        <is>
          <t>1</t>
        </is>
      </c>
      <c r="E32" s="18" t="inlineStr">
        <is>
          <t>Configuración de STM32CubeMX con middleware FreeRTOS.</t>
        </is>
      </c>
      <c r="F32" s="18" t="inlineStr">
        <is>
          <t>Planificado para inicio de la siguiente semana de desarrollo.</t>
        </is>
      </c>
      <c r="G32" s="17" t="inlineStr">
        <is>
          <t>1</t>
        </is>
      </c>
      <c r="H32" s="18" t="inlineStr">
        <is>
          <t>Configurar STM32CubeMX (TIM1, USART1/2, SPI1/2, FreeRTOS) y generar proyecto base.</t>
        </is>
      </c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</row>
    <row r="33" ht="60" customHeight="1" s="25">
      <c r="A33" s="1" t="n"/>
      <c r="B33" s="17" t="inlineStr">
        <is>
          <t>2</t>
        </is>
      </c>
      <c r="C33" s="18" t="inlineStr">
        <is>
          <t>Arquitectura de software: Diseño de estados de tareas (sensor, file, modem, control), definición de primitivas de sincronización (event flags, message queues, mutex) y redacción de documentación de migración. [3 HH]</t>
        </is>
      </c>
      <c r="D33" s="17" t="inlineStr">
        <is>
          <t>2</t>
        </is>
      </c>
      <c r="E33" s="18" t="inlineStr">
        <is>
          <t>Integración de drivers periféricos (SPI, USART, ADXL355, SD).</t>
        </is>
      </c>
      <c r="F33" s="18" t="inlineStr">
        <is>
          <t>Depende de la generación del árbol de código desde CubeMX.</t>
        </is>
      </c>
      <c r="G33" s="17" t="inlineStr">
        <is>
          <t>2</t>
        </is>
      </c>
      <c r="H33" s="18" t="inlineStr">
        <is>
          <t>Integrar drivers periféricos y probar compilación inicial.</t>
        </is>
      </c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</row>
    <row r="34" ht="60" customHeight="1" s="25">
      <c r="A34" s="1" t="n"/>
      <c r="B34" s="17" t="inlineStr">
        <is>
          <t>3</t>
        </is>
      </c>
      <c r="C34" s="18" t="inlineStr">
        <is>
          <t>Preparación del entorno de desarrollo: Verificación de toolchain ARM GCC, OpenOCD y scripts de flasheo. Configuración inicial de plantilla de proyecto CMSIS. [2 HH]</t>
        </is>
      </c>
      <c r="D34" s="17" t="inlineStr">
        <is>
          <t>3</t>
        </is>
      </c>
      <c r="E34" s="18" t="inlineStr">
        <is>
          <t>Implementación de tareas RTOS con primitivas de sincronización.</t>
        </is>
      </c>
      <c r="F34" s="18" t="n"/>
      <c r="G34" s="17" t="inlineStr">
        <is>
          <t>3</t>
        </is>
      </c>
      <c r="H34" s="18" t="inlineStr">
        <is>
          <t>Crear estructura de tareas y esqueletos RTOS.</t>
        </is>
      </c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</row>
    <row r="35" ht="60" customHeight="1" s="25">
      <c r="A35" s="1" t="n"/>
      <c r="B35" s="17" t="inlineStr">
        <is>
          <t>4</t>
        </is>
      </c>
      <c r="C35" s="18" t="n"/>
      <c r="D35" s="17" t="inlineStr">
        <is>
          <t>4</t>
        </is>
      </c>
      <c r="E35" s="18" t="n"/>
      <c r="F35" s="18" t="n"/>
      <c r="G35" s="17" t="inlineStr">
        <is>
          <t>4</t>
        </is>
      </c>
      <c r="H35" s="18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</row>
    <row r="36" ht="15.75" customHeight="1" s="25">
      <c r="A36" s="1" t="n"/>
      <c r="B36" s="19" t="inlineStr">
        <is>
          <t>Total HH:</t>
        </is>
      </c>
      <c r="C36" s="20">
        <f t="array" ref="C36">SUMPRODUCT(IFERROR(VALUE(MID(C32:C35,FIND("[",C32:C35)+1,FIND(" HH]",C32:C35)-FIND("[",C32:C35)-1)),0))</f>
        <v/>
      </c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</row>
    <row r="37" ht="15.75" customHeight="1" s="25">
      <c r="A37" s="1" t="n"/>
      <c r="B37" s="24" t="inlineStr">
        <is>
          <t>Semana 19: 04 al 08 May</t>
        </is>
      </c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</row>
    <row r="38" ht="15.75" customHeight="1" s="25">
      <c r="A38" s="1" t="n"/>
      <c r="B38" s="16" t="inlineStr">
        <is>
          <t>Ítem</t>
        </is>
      </c>
      <c r="C38" s="16" t="inlineStr">
        <is>
          <t>Actividades Semana pasada</t>
        </is>
      </c>
      <c r="D38" s="16" t="inlineStr">
        <is>
          <t>Ítem</t>
        </is>
      </c>
      <c r="E38" s="16" t="inlineStr">
        <is>
          <t>Actividades Pendientes</t>
        </is>
      </c>
      <c r="F38" s="16" t="inlineStr">
        <is>
          <t>Motivo</t>
        </is>
      </c>
      <c r="G38" s="16" t="inlineStr">
        <is>
          <t>Ítem</t>
        </is>
      </c>
      <c r="H38" s="16" t="inlineStr">
        <is>
          <t>Actividades para esta semana</t>
        </is>
      </c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</row>
    <row r="39" ht="60" customHeight="1" s="25">
      <c r="A39" s="1" t="n"/>
      <c r="B39" s="17" t="inlineStr">
        <is>
          <t>1</t>
        </is>
      </c>
      <c r="C39" s="18" t="inlineStr">
        <is>
          <t>Configuración de STM32CubeMX: Generación del proyecto HERMES-A1-CMSIS con FreeRTOS middleware, TIM1 (timebase), USART1/2 (CLI, módem), SPI1/2 (ADXL355, SD). [3 HH]</t>
        </is>
      </c>
      <c r="D39" s="17" t="inlineStr">
        <is>
          <t>1</t>
        </is>
      </c>
      <c r="E39" s="18" t="inlineStr">
        <is>
          <t>Implementación de algoritmos de adquisición y procesamiento.</t>
        </is>
      </c>
      <c r="F39" s="18" t="inlineStr">
        <is>
          <t>Algoritmos planificados para la siguiente fase del desarrollo.</t>
        </is>
      </c>
      <c r="G39" s="17" t="inlineStr">
        <is>
          <t>1</t>
        </is>
      </c>
      <c r="H39" s="18" t="inlineStr">
        <is>
          <t>Desarrollar algoritmos de adquisición: sensor_algo (FIFO, triggering).</t>
        </is>
      </c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</row>
    <row r="40" ht="60" customHeight="1" s="25">
      <c r="A40" s="1" t="n"/>
      <c r="B40" s="17" t="inlineStr">
        <is>
          <t>2</t>
        </is>
      </c>
      <c r="C40" s="18" t="inlineStr">
        <is>
          <t>Integración de drivers periféricos: Port de los drivers SPI, GPIO, USART, ADXL355 y SD_SPI desde el firmware bare-metal original al nuevo proyecto CMSIS. Ajuste de HAL y BSP. [4 HH]</t>
        </is>
      </c>
      <c r="D40" s="17" t="inlineStr">
        <is>
          <t>2</t>
        </is>
      </c>
      <c r="E40" s="18" t="inlineStr">
        <is>
          <t>Desarrollo de tareas RTOS con comunicación entre tareas.</t>
        </is>
      </c>
      <c r="F40" s="18" t="inlineStr">
        <is>
          <t>Requiere definición completa de la interfaz entre tareas.</t>
        </is>
      </c>
      <c r="G40" s="17" t="inlineStr">
        <is>
          <t>2</t>
        </is>
      </c>
      <c r="H40" s="18" t="inlineStr">
        <is>
          <t>Desarrollar utilidades: cli_algo (parser de comandos), csv_algo (buffer circular).</t>
        </is>
      </c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</row>
    <row r="41" ht="60" customHeight="1" s="25">
      <c r="A41" s="1" t="n"/>
      <c r="B41" s="17" t="inlineStr">
        <is>
          <t>3</t>
        </is>
      </c>
      <c r="C41" s="18" t="inlineStr">
        <is>
          <t>Configuración del build system: Makefile ARM GCC con reglas de compilación, enlace y generación de binarios. Script generate_compile_commands.py para LSP. Primer build de prueba. [2 HH]</t>
        </is>
      </c>
      <c r="D41" s="17" t="inlineStr">
        <is>
          <t>3</t>
        </is>
      </c>
      <c r="E41" s="18" t="inlineStr">
        <is>
          <t>Pruebas de compilación y debugging de símbolos.</t>
        </is>
      </c>
      <c r="F41" s="18" t="n"/>
      <c r="G41" s="17" t="inlineStr">
        <is>
          <t>3</t>
        </is>
      </c>
      <c r="H41" s="18" t="inlineStr">
        <is>
          <t>Documentar arquitectura y progreso (Actividades Pendientes PDF, Ruta de Desarrollo PDF).</t>
        </is>
      </c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</row>
    <row r="42" ht="60" customHeight="1" s="25">
      <c r="A42" s="1" t="n"/>
      <c r="B42" s="17" t="inlineStr">
        <is>
          <t>4</t>
        </is>
      </c>
      <c r="C42" s="18" t="n"/>
      <c r="D42" s="17" t="inlineStr">
        <is>
          <t>4</t>
        </is>
      </c>
      <c r="E42" s="18" t="n"/>
      <c r="F42" s="18" t="n"/>
      <c r="G42" s="17" t="inlineStr">
        <is>
          <t>4</t>
        </is>
      </c>
      <c r="H42" s="18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</row>
    <row r="43" ht="15.75" customHeight="1" s="25">
      <c r="A43" s="1" t="n"/>
      <c r="B43" s="19" t="inlineStr">
        <is>
          <t>Total HH:</t>
        </is>
      </c>
      <c r="C43" s="20">
        <f t="array" ref="C43">SUMPRODUCT(IFERROR(VALUE(MID(C39:C42,FIND("[",C39:C42)+1,FIND(" HH]",C39:C42)-FIND("[",C39:C42)-1)),0))</f>
        <v/>
      </c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</row>
    <row r="44" ht="15.75" customHeight="1" s="25">
      <c r="A44" s="1" t="n"/>
      <c r="B44" s="24" t="inlineStr">
        <is>
          <t>Semana 20: 11 al 15 May</t>
        </is>
      </c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</row>
    <row r="45" ht="15.75" customHeight="1" s="25">
      <c r="A45" s="1" t="n"/>
      <c r="B45" s="16" t="inlineStr">
        <is>
          <t>Ítem</t>
        </is>
      </c>
      <c r="C45" s="16" t="inlineStr">
        <is>
          <t>Actividades Semana pasada</t>
        </is>
      </c>
      <c r="D45" s="16" t="inlineStr">
        <is>
          <t>Ítem</t>
        </is>
      </c>
      <c r="E45" s="16" t="inlineStr">
        <is>
          <t>Actividades Pendientes</t>
        </is>
      </c>
      <c r="F45" s="16" t="inlineStr">
        <is>
          <t>Motivo</t>
        </is>
      </c>
      <c r="G45" s="16" t="inlineStr">
        <is>
          <t>Ítem</t>
        </is>
      </c>
      <c r="H45" s="16" t="inlineStr">
        <is>
          <t>Actividades para esta semana</t>
        </is>
      </c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</row>
    <row r="46" ht="60" customHeight="1" s="25">
      <c r="A46" s="1" t="n"/>
      <c r="B46" s="17" t="inlineStr">
        <is>
          <t>1</t>
        </is>
      </c>
      <c r="C46" s="18" t="inlineStr">
        <is>
          <t>Sin actividad registrada en esta planilla. Período de receso entre ciclos de trabajo. [0 HH]</t>
        </is>
      </c>
      <c r="D46" s="17" t="inlineStr">
        <is>
          <t>1</t>
        </is>
      </c>
      <c r="E46" s="18" t="inlineStr">
        <is>
          <t>Migración completa del firmware a CMSIS-RTOS v2 con FreeRTOS.</t>
        </is>
      </c>
      <c r="F46" s="18" t="inlineStr">
        <is>
          <t>Pendiente de inicio del siguiente ciclo de desarrollo.</t>
        </is>
      </c>
      <c r="G46" s="17" t="inlineStr">
        <is>
          <t>1</t>
        </is>
      </c>
      <c r="H46" s="18" t="inlineStr">
        <is>
          <t>Iniciar migración del firmware HERMES-A1 a CMSIS-RTOS v2.</t>
        </is>
      </c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</row>
    <row r="47" ht="60" customHeight="1" s="25">
      <c r="A47" s="1" t="n"/>
      <c r="B47" s="17" t="inlineStr">
        <is>
          <t>2</t>
        </is>
      </c>
      <c r="C47" s="18" t="n"/>
      <c r="D47" s="17" t="inlineStr">
        <is>
          <t>2</t>
        </is>
      </c>
      <c r="E47" s="18" t="inlineStr">
        <is>
          <t>Implementación de tareas: sensor, archivo, módem, control.</t>
        </is>
      </c>
      <c r="F47" s="18" t="n"/>
      <c r="G47" s="17" t="inlineStr">
        <is>
          <t>2</t>
        </is>
      </c>
      <c r="H47" s="18" t="inlineStr">
        <is>
          <t>Configurar STM32CubeMX con FreeRTOS middleware.</t>
        </is>
      </c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</row>
    <row r="48" ht="60" customHeight="1" s="25">
      <c r="A48" s="1" t="n"/>
      <c r="B48" s="17" t="inlineStr">
        <is>
          <t>3</t>
        </is>
      </c>
      <c r="C48" s="18" t="n"/>
      <c r="D48" s="17" t="inlineStr">
        <is>
          <t>3</t>
        </is>
      </c>
      <c r="E48" s="18" t="inlineStr">
        <is>
          <t>Pruebas de compilación y ejecución en hardware real.</t>
        </is>
      </c>
      <c r="F48" s="18" t="n"/>
      <c r="G48" s="17" t="inlineStr">
        <is>
          <t>3</t>
        </is>
      </c>
      <c r="H48" s="18" t="inlineStr">
        <is>
          <t>Definir estructura de tareas y primitivas de sincronización.</t>
        </is>
      </c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</row>
    <row r="49" ht="60" customHeight="1" s="25">
      <c r="A49" s="1" t="n"/>
      <c r="B49" s="17" t="inlineStr">
        <is>
          <t>4</t>
        </is>
      </c>
      <c r="C49" s="18" t="n"/>
      <c r="D49" s="17" t="inlineStr">
        <is>
          <t>4</t>
        </is>
      </c>
      <c r="E49" s="18" t="inlineStr">
        <is>
          <t>Documentación del proyecto migrado.</t>
        </is>
      </c>
      <c r="F49" s="18" t="n"/>
      <c r="G49" s="17" t="inlineStr">
        <is>
          <t>4</t>
        </is>
      </c>
      <c r="H49" s="18" t="inlineStr">
        <is>
          <t>Documentar arquitectura del sistema RTOS.</t>
        </is>
      </c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</row>
    <row r="50" ht="15.75" customHeight="1" s="25">
      <c r="A50" s="1" t="n"/>
      <c r="B50" s="19" t="inlineStr">
        <is>
          <t>Total HH:</t>
        </is>
      </c>
      <c r="C50" s="20">
        <f t="array" ref="C50">SUMPRODUCT(IFERROR(VALUE(MID(C46:C49,FIND("[",C46:C49)+1,FIND(" HH]",C46:C49)-FIND("[",C46:C49)-1)),0))</f>
        <v/>
      </c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</row>
    <row r="51" ht="13" customHeight="1" s="25">
      <c r="A51" s="1" t="n"/>
      <c r="B51" s="24" t="inlineStr">
        <is>
          <t>Semana 21: 18 al 22 May</t>
        </is>
      </c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</row>
    <row r="52" ht="15.75" customHeight="1" s="25">
      <c r="A52" s="1" t="n"/>
      <c r="B52" s="16" t="inlineStr">
        <is>
          <t>Ítem</t>
        </is>
      </c>
      <c r="C52" s="16" t="inlineStr">
        <is>
          <t>Actividades Semana pasada</t>
        </is>
      </c>
      <c r="D52" s="16" t="inlineStr">
        <is>
          <t>Ítem</t>
        </is>
      </c>
      <c r="E52" s="16" t="inlineStr">
        <is>
          <t>Actividades Pendientes</t>
        </is>
      </c>
      <c r="F52" s="16" t="inlineStr">
        <is>
          <t>Motivo</t>
        </is>
      </c>
      <c r="G52" s="16" t="inlineStr">
        <is>
          <t>Ítem</t>
        </is>
      </c>
      <c r="H52" s="16" t="inlineStr">
        <is>
          <t>Actividades para esta semana</t>
        </is>
      </c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</row>
    <row r="53" ht="60" customHeight="1" s="25">
      <c r="A53" s="1" t="n"/>
      <c r="B53" s="17" t="inlineStr">
        <is>
          <t>1</t>
        </is>
      </c>
      <c r="C53" s="18" t="inlineStr">
        <is>
          <t>Refactorización de tareas RTOS: Implementación completa de sensor_task (estados waiting/settling, encolado de datos) y file_task (escritura CSV con buffer circular, mutex SD). [4 HH]</t>
        </is>
      </c>
      <c r="D53" s="17" t="inlineStr">
        <is>
          <t>1</t>
        </is>
      </c>
      <c r="E53" s="18" t="inlineStr">
        <is>
          <t>Compilación y prueba en hardware real (STM32 Nucleo-F446RE).</t>
        </is>
      </c>
      <c r="F53" s="18" t="inlineStr">
        <is>
          <t>Pendiente de disponibilidad de hardware para pruebas físicas.</t>
        </is>
      </c>
      <c r="G53" s="17" t="inlineStr">
        <is>
          <t>1</t>
        </is>
      </c>
      <c r="H53" s="18" t="inlineStr">
        <is>
          <t>Flashear firmware CMSIS-RTOS v2 en hardware Nucleo-F446RE, validar arranque de tareas y consola CLI por USART.</t>
        </is>
      </c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</row>
    <row r="54" ht="60" customHeight="1" s="25">
      <c r="A54" s="1" t="n"/>
      <c r="B54" s="17" t="inlineStr">
        <is>
          <t>2</t>
        </is>
      </c>
      <c r="C54" s="18" t="inlineStr">
        <is>
          <t>Desarrollo de modem_task: Subida HTTP con reintentos (3 intentos), verificación de RSSI y estados de módem. Implementación de quectel_drive.c/h para control real del EC25. [3 HH]</t>
        </is>
      </c>
      <c r="D54" s="17" t="inlineStr">
        <is>
          <t>2</t>
        </is>
      </c>
      <c r="E54" s="18" t="inlineStr">
        <is>
          <t>Prueba de módem Quectel EC25 con firmware CMSIS-RTOS v2.</t>
        </is>
      </c>
      <c r="F54" s="18" t="inlineStr">
        <is>
          <t>Requiere antena y SIM activa para pruebas de conectividad.</t>
        </is>
      </c>
      <c r="G54" s="17" t="inlineStr">
        <is>
          <t>2</t>
        </is>
      </c>
      <c r="H54" s="18" t="inlineStr">
        <is>
          <t>Probar pipeline sensor→SD: adquirir datos ADXL355, volcar a CSV en tarjeta SD, verificar integridad.</t>
        </is>
      </c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</row>
    <row r="55" ht="60" customHeight="1" s="25">
      <c r="A55" s="1" t="n"/>
      <c r="B55" s="17" t="inlineStr">
        <is>
          <t>3</t>
        </is>
      </c>
      <c r="C55" s="18" t="inlineStr">
        <is>
          <t>Implementación de control_task: CLI interactivo con comandos (status, accel, trigger, sdtest, modem_on, help). Parseo de comandos USART con cli_algo. [3 HH]</t>
        </is>
      </c>
      <c r="D55" s="17" t="inlineStr">
        <is>
          <t>3</t>
        </is>
      </c>
      <c r="E55" s="18" t="inlineStr">
        <is>
          <t>Verificación de FatFs y test de SD con adquisición real ADXL355.</t>
        </is>
      </c>
      <c r="F55" s="18" t="inlineStr">
        <is>
          <t>Depende de la correcta inicialización del ADXL355 en CMSIS.</t>
        </is>
      </c>
      <c r="G55" s="17" t="inlineStr">
        <is>
          <t>3</t>
        </is>
      </c>
      <c r="H55" s="18" t="inlineStr">
        <is>
          <t>Probar pipeline SD→módem: leer archivo CSV, transmitir por Quectel EC25 vía HTTP POST a backend.</t>
        </is>
      </c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</row>
    <row r="56" ht="60" customHeight="1" s="25">
      <c r="A56" s="1" t="n"/>
      <c r="B56" s="17" t="inlineStr">
        <is>
          <t>4</t>
        </is>
      </c>
      <c r="C56" s="18" t="inlineStr">
        <is>
          <t>Compilación exitosa del firmware completo: HERMES-A1-CMSIS.elf / .bin / .hex. Generación de documentación: OPENCODE_SETUP_GUIDE.md/.pdf, documentacion.pdf. [4 HH]</t>
        </is>
      </c>
      <c r="D56" s="17" t="inlineStr">
        <is>
          <t>4</t>
        </is>
      </c>
      <c r="E56" s="18" t="inlineStr">
        <is>
          <t>Prueba de pipeline completo: sensor → SD → módem → backend.</t>
        </is>
      </c>
      <c r="F56" s="18" t="inlineStr">
        <is>
          <t>Integración final requiere subsistemas validados individualmente.</t>
        </is>
      </c>
      <c r="G56" s="17" t="inlineStr">
        <is>
          <t>4</t>
        </is>
      </c>
      <c r="H56" s="18" t="inlineStr">
        <is>
          <t>Documentar resultados de pruebas, ajustar planificación y preparar reporte de avance.</t>
        </is>
      </c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</row>
    <row r="57" ht="13" customHeight="1" s="25">
      <c r="A57" s="1" t="n"/>
      <c r="B57" s="19" t="inlineStr">
        <is>
          <t>Total HH:</t>
        </is>
      </c>
      <c r="C57" s="20">
        <f t="array" ref="C57">SUMPRODUCT(IFERROR(VALUE(MID(C53:C56,FIND("[",C53:C56)+1,FIND(" HH]",C53:C56)-FIND("[",C53:C56)-1)),0))</f>
        <v/>
      </c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</row>
    <row r="58" ht="13" customHeight="1" s="25">
      <c r="A58" s="1" t="n"/>
      <c r="B58" s="24" t="inlineStr">
        <is>
          <t>Semana 22: 25 al 29 May</t>
        </is>
      </c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</row>
    <row r="59" ht="15.75" customHeight="1" s="25">
      <c r="A59" s="1" t="n"/>
      <c r="B59" s="16" t="inlineStr">
        <is>
          <t>Ítem</t>
        </is>
      </c>
      <c r="C59" s="16" t="inlineStr">
        <is>
          <t>Actividades Semana pasada</t>
        </is>
      </c>
      <c r="D59" s="16" t="inlineStr">
        <is>
          <t>Ítem</t>
        </is>
      </c>
      <c r="E59" s="16" t="inlineStr">
        <is>
          <t>Actividades Pendientes</t>
        </is>
      </c>
      <c r="F59" s="16" t="inlineStr">
        <is>
          <t>Motivo</t>
        </is>
      </c>
      <c r="G59" s="16" t="inlineStr">
        <is>
          <t>Ítem</t>
        </is>
      </c>
      <c r="H59" s="16" t="inlineStr">
        <is>
          <t>Actividades para esta semana</t>
        </is>
      </c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</row>
    <row r="60" ht="60" customHeight="1" s="25">
      <c r="A60" s="1" t="n"/>
      <c r="B60" s="17" t="inlineStr">
        <is>
          <t>1</t>
        </is>
      </c>
      <c r="C60" s="18" t="inlineStr">
        <is>
          <t>Creación del proyecto CMSIS-RTOS v2 desde STM32CubeMX: configuración de pines (TIM1, USART1/2, SPI1/2), drivers periféricos (SPI, GPIO, USART, ADXL355, SD_SPI), linker scripts y Makefile ARM GCC. Compilación exitosa del firmware HERMES-A1-CMSIS.elf/bin/hex. [4 HH]</t>
        </is>
      </c>
      <c r="D60" s="17" t="inlineStr">
        <is>
          <t>1</t>
        </is>
      </c>
      <c r="E60" s="18" t="inlineStr">
        <is>
          <t>Compilación y prueba en hardware real (STM32 Nucleo-F446RE): flashear firmware y validar arranque RTOS + consola CLI.</t>
        </is>
      </c>
      <c r="F60" s="18" t="inlineStr">
        <is>
          <t>Pendiente de disponibilidad de hardware para pruebas físicas.</t>
        </is>
      </c>
      <c r="G60" s="17" t="inlineStr">
        <is>
          <t>1</t>
        </is>
      </c>
      <c r="H60" s="18" t="inlineStr">
        <is>
          <t>Flashear firmware CMSIS-RTOS v2 en hardware Nucleo-F446RE, validar arranque de tareas y consola CLI por USART.</t>
        </is>
      </c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</row>
    <row r="61" ht="60" customHeight="1" s="25">
      <c r="A61" s="1" t="n"/>
      <c r="B61" s="17" t="inlineStr">
        <is>
          <t>2</t>
        </is>
      </c>
      <c r="C61" s="18" t="inlineStr">
        <is>
          <t>Arquitectura FreeRTOS: definición de 5 tareas (sensor_task, file_task, modem_task, control_task, CLI) con primitivas de sincronización — event flags, message queues, mutex SD. Configuración de FreeRTOSConfig.h (heap, prioridades, ticks) y tasks.h con objetos de concurrencia. [6 HH]</t>
        </is>
      </c>
      <c r="D61" s="17" t="inlineStr">
        <is>
          <t>2</t>
        </is>
      </c>
      <c r="E61" s="18" t="inlineStr">
        <is>
          <t>Prueba de módem Quectel EC25 con firmware CMSIS-RTOS v2: verificar attach de red, RSSI y upload HTTP.</t>
        </is>
      </c>
      <c r="F61" s="18" t="inlineStr">
        <is>
          <t>Requiere antena y SIM activa para pruebas de conectividad.</t>
        </is>
      </c>
      <c r="G61" s="17" t="inlineStr">
        <is>
          <t>2</t>
        </is>
      </c>
      <c r="H61" s="18" t="inlineStr">
        <is>
          <t>Probar pipeline sensor→SD: adquirir datos ADXL355, volcar a CSV en tarjeta SD, verificar integridad.</t>
        </is>
      </c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</row>
    <row r="62" ht="60" customHeight="1" s="25">
      <c r="A62" s="1" t="n"/>
      <c r="B62" s="17" t="inlineStr">
        <is>
          <t>3</t>
        </is>
      </c>
      <c r="C62" s="18" t="inlineStr">
        <is>
          <t>Algoritmos de procesamiento: sensor_algo (FIFO management, umbral trigger con settling), cli_algo (parseo de comandos: status/test/sdtest/modem_on), csv_algo (buffer circular volcado a string). Implementación de file_task con escritura CSV y mutex SD. [6 HH]</t>
        </is>
      </c>
      <c r="D62" s="17" t="inlineStr">
        <is>
          <t>3</t>
        </is>
      </c>
      <c r="E62" s="18" t="inlineStr">
        <is>
          <t>Verificación de FatFs y test de SD con adquisición real de sensor ADXL355.</t>
        </is>
      </c>
      <c r="F62" s="18" t="inlineStr">
        <is>
          <t>Depende de la correcta inicialización del ADXL355 en el nuevo framework CMSIS.</t>
        </is>
      </c>
      <c r="G62" s="17" t="inlineStr">
        <is>
          <t>3</t>
        </is>
      </c>
      <c r="H62" s="18" t="inlineStr">
        <is>
          <t>Probar pipeline SD→módem: leer archivo CSV, transmitir por Quectel EC25 vía HTTP POST a backend.</t>
        </is>
      </c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</row>
    <row r="63" ht="60" customHeight="1" s="25">
      <c r="A63" s="1" t="n"/>
      <c r="B63" s="17" t="inlineStr">
        <is>
          <t>4</t>
        </is>
      </c>
      <c r="C63" s="18" t="inlineStr">
        <is>
          <t>Implementación de sensor_task (adquisición con estados waiting/settling, encolado), modem_task (HTTP POST con reintentos y verificación RSSI), control_task (CLI interactivo completo). Generación de documentación: OPENCODE_SETUP_GUIDE, Actividades Pendientes PDF, Ruta de Desarrollo PDF, documentacion.pdf. [9 HH]</t>
        </is>
      </c>
      <c r="D63" s="17" t="inlineStr">
        <is>
          <t>4</t>
        </is>
      </c>
      <c r="E63" s="18" t="inlineStr">
        <is>
          <t>Prueba de pipeline completo: sensor → SD → módem → backend. Corrección de interrupción Wake-on-Motion y NVIC.</t>
        </is>
      </c>
      <c r="F63" s="18" t="inlineStr">
        <is>
          <t>Integración final requiere todos los subsistemas validados individualmente primero.</t>
        </is>
      </c>
      <c r="G63" s="17" t="inlineStr">
        <is>
          <t>4</t>
        </is>
      </c>
      <c r="H63" s="18" t="inlineStr">
        <is>
          <t>Documentar resultados de pruebas, ajustar planificación y preparar reporte de avance.</t>
        </is>
      </c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</row>
    <row r="64" ht="13" customHeight="1" s="25">
      <c r="A64" s="1" t="n"/>
      <c r="B64" s="19" t="inlineStr">
        <is>
          <t>Total HH:</t>
        </is>
      </c>
      <c r="C64" s="20">
        <f t="array" ref="C64">SUMPRODUCT(IFERROR(VALUE(MID(C60:C63,FIND("[",C60:C63)+1,FIND(" HH]",C60:C63)-FIND("[",C60:C63)-1)),0))</f>
        <v/>
      </c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</row>
    <row r="65" ht="20" customHeight="1" s="25">
      <c r="A65" s="1" t="n"/>
      <c r="B65" s="24" t="inlineStr">
        <is>
          <t>TAREAS EN PROGRESO</t>
        </is>
      </c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</row>
    <row r="66" ht="45" customHeight="1" s="25">
      <c r="A66" s="1" t="n"/>
      <c r="B66" s="17" t="inlineStr">
        <is>
          <t>1</t>
        </is>
      </c>
      <c r="C66" s="18" t="inlineStr">
        <is>
          <t>Fix residual NRST post-upload por corriente de modem al cerrar TCP</t>
        </is>
      </c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</row>
    <row r="67" ht="45" customHeight="1" s="25">
      <c r="A67" s="1" t="n"/>
      <c r="B67" s="17" t="inlineStr">
        <is>
          <t>2</t>
        </is>
      </c>
      <c r="C67" s="18" t="inlineStr">
        <is>
          <t>NTP sync: ambos servidores fallan, investigar timing AT+QNTP</t>
        </is>
      </c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</row>
    <row r="68" ht="45" customHeight="1" s="25">
      <c r="A68" s="1" t="n"/>
      <c r="B68" s="17" t="inlineStr">
        <is>
          <t>3</t>
        </is>
      </c>
      <c r="C68" s="18" t="inlineStr">
        <is>
          <t>SD mount: primer intento falla (FRESULT=1), retry exitoso</t>
        </is>
      </c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</row>
    <row r="69" ht="13" customHeight="1" s="25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</row>
    <row r="70" ht="20" customHeight="1" s="25">
      <c r="A70" s="1" t="n"/>
      <c r="B70" s="24" t="inlineStr">
        <is>
          <t>TAREAS FUTURAS</t>
        </is>
      </c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</row>
    <row r="71" ht="45" customHeight="1" s="25">
      <c r="A71" s="1" t="n"/>
      <c r="B71" s="17" t="inlineStr">
        <is>
          <t>1</t>
        </is>
      </c>
      <c r="C71" s="18" t="inlineStr">
        <is>
          <t>Port de ADXL355 a ADXL312. Evaluar compatibilidad de pines y registros del ADXL312 (acelerómetro de bajo costo) como reemplazo del ADXL355. Adaptar driver SPI y lógica de configuración. Estimación: 6 HH.</t>
        </is>
      </c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</row>
    <row r="72" ht="45" customHeight="1" s="25">
      <c r="A72" s="1" t="n"/>
      <c r="B72" s="17" t="inlineStr">
        <is>
          <t>2</t>
        </is>
      </c>
      <c r="C72" s="18" t="inlineStr">
        <is>
          <t>Implementación de pruebas unitarias para módulos RTOS. Desarrollar pruebas para sensor_task, file_task, modem_task usando un framework de pruebas embebido (CMock/Unity). Validar transiciones de estado y manejo de errores. Estimación: 8 HH.</t>
        </is>
      </c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</row>
    <row r="73" ht="45" customHeight="1" s="25">
      <c r="A73" s="1" t="n"/>
      <c r="B73" s="17" t="inlineStr">
        <is>
          <t>3</t>
        </is>
      </c>
      <c r="C73" s="18" t="inlineStr">
        <is>
          <t>Integración con backend IoT. Desarrollar firmware de comunicación MQTT sobre PPP/EC25 para publicación periódica de datos de vibración. Implementar mecanismo de buffer local con reenvío en caso de fallo de conectividad. Estimación: 10 HH.</t>
        </is>
      </c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</row>
    <row r="74" ht="45" customHeight="1" s="25">
      <c r="A74" s="1" t="n"/>
      <c r="B74" s="17" t="inlineStr">
        <is>
          <t>4</t>
        </is>
      </c>
      <c r="C74" s="18" t="inlineStr">
        <is>
          <t>Reducción de consumo energético. Implementar modos de bajo consumo (STOP/SLEEP) del STM32F446RE entre ciclos de adquisición. Configurar wake-up por RTC o interrupción de sensor. Estimación: 8 HH.</t>
        </is>
      </c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</row>
    <row r="75" ht="45" customHeight="1" s="25">
      <c r="A75" s="1" t="n"/>
      <c r="B75" s="17" t="inlineStr">
        <is>
          <t>5</t>
        </is>
      </c>
      <c r="C75" s="18" t="inlineStr">
        <is>
          <t>Diseño de PCB definitivo. Diseñar esquemático y layout de PCB para el sistema de monitoreo de vibraciones con STM32F446RE, ADXL355/ADXL312, Quectel EC25 y alimentación por batería. Estimación: 20 HH.</t>
        </is>
      </c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</row>
    <row r="76" ht="15" customHeight="1" s="25">
      <c r="A76" s="1" t="n"/>
      <c r="B76" s="27" t="inlineStr">
        <is>
          <t>📍 RESUMEN: Jun 2025 — May 2026 (Migración FreeRTOS)</t>
        </is>
      </c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</row>
    <row r="77" ht="15" customHeight="1" s="25">
      <c r="A77" s="1" t="n"/>
      <c r="B77" s="28" t="inlineStr">
        <is>
          <t>Ítem</t>
        </is>
      </c>
      <c r="C77" s="28" t="inlineStr">
        <is>
          <t>Actividades Semana pasada</t>
        </is>
      </c>
      <c r="D77" s="28" t="inlineStr">
        <is>
          <t>Ítem</t>
        </is>
      </c>
      <c r="E77" s="28" t="inlineStr">
        <is>
          <t>Actividades Pendientes</t>
        </is>
      </c>
      <c r="F77" s="28" t="inlineStr">
        <is>
          <t>Motivo</t>
        </is>
      </c>
      <c r="G77" s="28" t="inlineStr">
        <is>
          <t>Ítem</t>
        </is>
      </c>
      <c r="H77" s="28" t="inlineStr">
        <is>
          <t>Actividades para esta semana</t>
        </is>
      </c>
      <c r="I77" s="1" t="n"/>
      <c r="J77" s="28" t="inlineStr">
        <is>
          <t>Sem</t>
        </is>
      </c>
      <c r="K77" s="28" t="inlineStr">
        <is>
          <t>Total HH</t>
        </is>
      </c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</row>
    <row r="78" ht="45" customHeight="1" s="25">
      <c r="A78" s="1" t="n"/>
      <c r="B78" s="1" t="n">
        <v>1</v>
      </c>
      <c r="C78" s="29" t="n"/>
      <c r="D78" s="1" t="n"/>
      <c r="E78" s="29" t="inlineStr">
        <is>
          <t>Optimización DMA pendiente</t>
        </is>
      </c>
      <c r="F78" s="29" t="inlineStr">
        <is>
          <t>DMA1 Stream 3/4 funcional, falta modo burst</t>
        </is>
      </c>
      <c r="G78" s="1" t="n">
        <v>1</v>
      </c>
      <c r="H78" s="29" t="inlineStr">
        <is>
          <t>Migración a FreeRTOS + CMSIS-RTOS v2 completa [40+ HH]</t>
        </is>
      </c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</row>
    <row r="79" ht="45" customHeight="1" s="25">
      <c r="A79" s="1" t="n"/>
      <c r="B79" s="1" t="n">
        <v>2</v>
      </c>
      <c r="C79" s="29" t="n"/>
      <c r="D79" s="1" t="n"/>
      <c r="E79" s="29" t="inlineStr">
        <is>
          <t>Adquisición continua pendiente</t>
        </is>
      </c>
      <c r="F79" s="29" t="inlineStr">
        <is>
          <t>Requiere DMA modo burst validado</t>
        </is>
      </c>
      <c r="G79" s="1" t="n">
        <v>2</v>
      </c>
      <c r="H79" s="29" t="inlineStr">
        <is>
          <t>Driver SPI2 con DMA para ADXL355 [12 HH]</t>
        </is>
      </c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</row>
    <row r="80" ht="45" customHeight="1" s="25">
      <c r="A80" s="1" t="n"/>
      <c r="B80" s="1" t="n">
        <v>3</v>
      </c>
      <c r="C80" s="29" t="n"/>
      <c r="D80" s="1" t="n"/>
      <c r="E80" s="29" t="inlineStr">
        <is>
          <t>Calibración acelerómetro pendiente</t>
        </is>
      </c>
      <c r="F80" s="29" t="inlineStr">
        <is>
          <t>Requiere setup de referencia</t>
        </is>
      </c>
      <c r="G80" s="1" t="n">
        <v>3</v>
      </c>
      <c r="H80" s="29" t="inlineStr">
        <is>
          <t>Suite de pruebas: 47 tests, 8 bugs [16 HH]</t>
        </is>
      </c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</row>
    <row r="81" ht="45" customHeight="1" s="25">
      <c r="A81" s="1" t="n"/>
      <c r="B81" s="1" t="n">
        <v>4</v>
      </c>
      <c r="C81" s="29" t="n"/>
      <c r="D81" s="1" t="n"/>
      <c r="E81" s="29" t="inlineStr">
        <is>
          <t>Sincronización NTP pendiente</t>
        </is>
      </c>
      <c r="F81" s="29" t="inlineStr">
        <is>
          <t>Depende de stack LTE estable</t>
        </is>
      </c>
      <c r="G81" s="1" t="n">
        <v>4</v>
      </c>
      <c r="H81" s="29" t="inlineStr">
        <is>
          <t>Task refactoring + módulos algoritmo [10 HH]</t>
        </is>
      </c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</row>
    <row r="82" ht="13" customHeight="1" s="25">
      <c r="A82" s="1" t="n"/>
      <c r="B82" s="30" t="inlineStr">
        <is>
          <t>Total HH:</t>
        </is>
      </c>
      <c r="C82" s="1">
        <f>C78+C79+C80+C81</f>
        <v/>
      </c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</row>
    <row r="83" ht="15" customHeight="1" s="25">
      <c r="A83" s="1" t="n"/>
      <c r="B83" s="27" t="inlineStr">
        <is>
          <t>Semana 23: 02 al 06 Jun 2026</t>
        </is>
      </c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</row>
    <row r="84" ht="15" customHeight="1" s="25">
      <c r="A84" s="1" t="n"/>
      <c r="B84" s="28" t="inlineStr">
        <is>
          <t>Ítem</t>
        </is>
      </c>
      <c r="C84" s="28" t="inlineStr">
        <is>
          <t>Actividades Semana pasada</t>
        </is>
      </c>
      <c r="D84" s="28" t="inlineStr">
        <is>
          <t>Ítem</t>
        </is>
      </c>
      <c r="E84" s="28" t="inlineStr">
        <is>
          <t>Actividades Pendientes</t>
        </is>
      </c>
      <c r="F84" s="28" t="inlineStr">
        <is>
          <t>Motivo</t>
        </is>
      </c>
      <c r="G84" s="28" t="inlineStr">
        <is>
          <t>Ítem</t>
        </is>
      </c>
      <c r="H84" s="28" t="inlineStr">
        <is>
          <t>Actividades para esta semana</t>
        </is>
      </c>
      <c r="I84" s="1" t="n"/>
      <c r="J84" s="28" t="inlineStr">
        <is>
          <t>Sem</t>
        </is>
      </c>
      <c r="K84" s="28" t="inlineStr">
        <is>
          <t>Total HH</t>
        </is>
      </c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</row>
    <row r="85" ht="45" customHeight="1" s="25">
      <c r="A85" s="1" t="n"/>
      <c r="B85" s="1" t="n">
        <v>1</v>
      </c>
      <c r="C85" s="29" t="n"/>
      <c r="D85" s="1" t="n"/>
      <c r="E85" s="29" t="inlineStr">
        <is>
          <t>Adquisición en tiempo continuo</t>
        </is>
      </c>
      <c r="F85" s="29" t="inlineStr">
        <is>
          <t>Requiere DMA modo burst validado</t>
        </is>
      </c>
      <c r="G85" s="1" t="n">
        <v>1</v>
      </c>
      <c r="H85" s="29" t="inlineStr">
        <is>
          <t>Pruebas de pipeline completo: sensor→SD→módem [6 HH]</t>
        </is>
      </c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</row>
    <row r="86" ht="45" customHeight="1" s="25">
      <c r="A86" s="1" t="n"/>
      <c r="B86" s="1" t="n">
        <v>2</v>
      </c>
      <c r="C86" s="29" t="n"/>
      <c r="D86" s="1" t="n"/>
      <c r="E86" s="29" t="inlineStr">
        <is>
          <t>Diseño buffer local SD</t>
        </is>
      </c>
      <c r="F86" s="29" t="inlineStr">
        <is>
          <t>Especificación de tamaño y política</t>
        </is>
      </c>
      <c r="G86" s="1" t="n">
        <v>2</v>
      </c>
      <c r="H86" s="29" t="inlineStr">
        <is>
          <t>Optimización DMA modo burst [8 HH]</t>
        </is>
      </c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</row>
    <row r="87" ht="45" customHeight="1" s="25">
      <c r="A87" s="1" t="n"/>
      <c r="B87" s="1" t="n">
        <v>3</v>
      </c>
      <c r="C87" s="29" t="n"/>
      <c r="D87" s="1" t="n"/>
      <c r="E87" s="29" t="inlineStr">
        <is>
          <t>---</t>
        </is>
      </c>
      <c r="F87" s="29" t="n"/>
      <c r="G87" s="1" t="n">
        <v>3</v>
      </c>
      <c r="H87" s="29" t="inlineStr">
        <is>
          <t>Suite pruebas: test_suite.c + reportes [4 HH]</t>
        </is>
      </c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</row>
    <row r="88" ht="45" customHeight="1" s="25">
      <c r="A88" s="1" t="n"/>
      <c r="B88" s="1" t="n">
        <v>4</v>
      </c>
      <c r="C88" s="29" t="n"/>
      <c r="D88" s="1" t="n"/>
      <c r="E88" s="29" t="inlineStr">
        <is>
          <t>---</t>
        </is>
      </c>
      <c r="F88" s="29" t="n"/>
      <c r="G88" s="1" t="n">
        <v>4</v>
      </c>
      <c r="H88" s="29" t="inlineStr">
        <is>
          <t>Documentación técnica v1.1.0 [2 HH]</t>
        </is>
      </c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</row>
    <row r="89" ht="13" customHeight="1" s="25">
      <c r="A89" s="1" t="n"/>
      <c r="B89" s="30" t="inlineStr">
        <is>
          <t>Total HH:</t>
        </is>
      </c>
      <c r="C89" s="1">
        <f>C85+C86+C87+C88</f>
        <v/>
      </c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</row>
    <row r="90" ht="15" customHeight="1" s="25">
      <c r="A90" s="1" t="n"/>
      <c r="B90" s="27" t="inlineStr">
        <is>
          <t>Semana 24: 09 al 13 Jun 2026</t>
        </is>
      </c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</row>
    <row r="91" ht="15" customHeight="1" s="25">
      <c r="A91" s="1" t="n"/>
      <c r="B91" s="28" t="inlineStr">
        <is>
          <t>Ítem</t>
        </is>
      </c>
      <c r="C91" s="28" t="inlineStr">
        <is>
          <t>Actividades Semana pasada</t>
        </is>
      </c>
      <c r="D91" s="28" t="inlineStr">
        <is>
          <t>Ítem</t>
        </is>
      </c>
      <c r="E91" s="28" t="inlineStr">
        <is>
          <t>Actividades Pendientes</t>
        </is>
      </c>
      <c r="F91" s="28" t="inlineStr">
        <is>
          <t>Motivo</t>
        </is>
      </c>
      <c r="G91" s="28" t="inlineStr">
        <is>
          <t>Ítem</t>
        </is>
      </c>
      <c r="H91" s="28" t="inlineStr">
        <is>
          <t>Actividades para esta semana</t>
        </is>
      </c>
      <c r="I91" s="1" t="n"/>
      <c r="J91" s="28" t="inlineStr">
        <is>
          <t>Sem</t>
        </is>
      </c>
      <c r="K91" s="28" t="inlineStr">
        <is>
          <t>Total HH</t>
        </is>
      </c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</row>
    <row r="92" ht="45" customHeight="1" s="25">
      <c r="A92" s="1" t="n"/>
      <c r="B92" s="1" t="n">
        <v>1</v>
      </c>
      <c r="C92" s="29" t="n"/>
      <c r="D92" s="1" t="n"/>
      <c r="E92" s="29" t="inlineStr">
        <is>
          <t>Calibración acelerómetro ADXL355</t>
        </is>
      </c>
      <c r="F92" s="29" t="inlineStr">
        <is>
          <t>Setup de prueba con referencia</t>
        </is>
      </c>
      <c r="G92" s="1" t="n">
        <v>1</v>
      </c>
      <c r="H92" s="29" t="inlineStr">
        <is>
          <t>Adquisición en tiempo continuo: pruebas iniciales [8 HH]</t>
        </is>
      </c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</row>
    <row r="93" ht="45" customHeight="1" s="25">
      <c r="A93" s="1" t="n"/>
      <c r="B93" s="1" t="n">
        <v>2</v>
      </c>
      <c r="C93" s="29" t="n"/>
      <c r="D93" s="1" t="n"/>
      <c r="E93" s="29" t="inlineStr">
        <is>
          <t>FPU Enable + migración punto flotante</t>
        </is>
      </c>
      <c r="F93" s="29" t="inlineStr">
        <is>
          <t>Evaluar impacto en consumo</t>
        </is>
      </c>
      <c r="G93" s="1" t="n">
        <v>2</v>
      </c>
      <c r="H93" s="29" t="inlineStr">
        <is>
          <t>Inicio calibración acelerómetro [6 HH]</t>
        </is>
      </c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</row>
    <row r="94" ht="45" customHeight="1" s="25">
      <c r="A94" s="1" t="n"/>
      <c r="B94" s="1" t="n">
        <v>3</v>
      </c>
      <c r="C94" s="29" t="n"/>
      <c r="D94" s="1" t="n"/>
      <c r="E94" s="29" t="inlineStr">
        <is>
          <t>---</t>
        </is>
      </c>
      <c r="F94" s="29" t="n"/>
      <c r="G94" s="1" t="n">
        <v>3</v>
      </c>
      <c r="H94" s="29" t="inlineStr">
        <is>
          <t>Buffer local: diseño de arquitectura [4 HH]</t>
        </is>
      </c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</row>
    <row r="95" ht="45" customHeight="1" s="25">
      <c r="A95" s="1" t="n"/>
      <c r="B95" s="1" t="n">
        <v>4</v>
      </c>
      <c r="C95" s="29" t="n"/>
      <c r="D95" s="1" t="n"/>
      <c r="E95" s="29" t="inlineStr">
        <is>
          <t>---</t>
        </is>
      </c>
      <c r="F95" s="29" t="n"/>
      <c r="G95" s="1" t="n">
        <v>4</v>
      </c>
      <c r="H95" s="29" t="inlineStr">
        <is>
          <t>Corrección CLI input loss (prioridad control_task) [2 HH]</t>
        </is>
      </c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</row>
    <row r="96" ht="13" customHeight="1" s="25">
      <c r="A96" s="1" t="n"/>
      <c r="B96" s="30" t="inlineStr">
        <is>
          <t>Total HH:</t>
        </is>
      </c>
      <c r="C96" s="1">
        <f>C92+C93+C94+C95</f>
        <v/>
      </c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</row>
    <row r="97" ht="15" customHeight="1" s="25">
      <c r="A97" s="1" t="n"/>
      <c r="B97" s="27" t="inlineStr">
        <is>
          <t>Semana 25: 16 al 20 Jun 2026</t>
        </is>
      </c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</row>
    <row r="98" ht="15" customHeight="1" s="25">
      <c r="A98" s="1" t="n"/>
      <c r="B98" s="28" t="inlineStr">
        <is>
          <t>Ítem</t>
        </is>
      </c>
      <c r="C98" s="28" t="inlineStr">
        <is>
          <t>Actividades Semana pasada</t>
        </is>
      </c>
      <c r="D98" s="28" t="inlineStr">
        <is>
          <t>Ítem</t>
        </is>
      </c>
      <c r="E98" s="28" t="inlineStr">
        <is>
          <t>Actividades Pendientes</t>
        </is>
      </c>
      <c r="F98" s="28" t="inlineStr">
        <is>
          <t>Motivo</t>
        </is>
      </c>
      <c r="G98" s="28" t="inlineStr">
        <is>
          <t>Ítem</t>
        </is>
      </c>
      <c r="H98" s="28" t="inlineStr">
        <is>
          <t>Actividades para esta semana</t>
        </is>
      </c>
      <c r="I98" s="1" t="n"/>
      <c r="J98" s="28" t="inlineStr">
        <is>
          <t>Sem</t>
        </is>
      </c>
      <c r="K98" s="28" t="inlineStr">
        <is>
          <t>Total HH</t>
        </is>
      </c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</row>
    <row r="99" ht="45" customHeight="1" s="25">
      <c r="A99" s="1" t="n"/>
      <c r="B99" s="1" t="n">
        <v>1</v>
      </c>
      <c r="C99" s="29" t="inlineStr">
        <is>
          <t>FPU habilitada, DMA SPI2 implementado, validacion pipeline sensor-&gt;SD-&gt;modem en hardware real [4 HH]</t>
        </is>
      </c>
      <c r="D99" s="1" t="n"/>
      <c r="E99" s="29" t="inlineStr">
        <is>
          <t>Sincronización NTP sobre LTE</t>
        </is>
      </c>
      <c r="F99" s="29" t="inlineStr">
        <is>
          <t>Depende de stack AT + librería NTP</t>
        </is>
      </c>
      <c r="G99" s="1" t="n">
        <v>1</v>
      </c>
      <c r="H99" s="29" t="inlineStr">
        <is>
          <t>Cola RAM upload implementada (8 slots circulares) [6 HH]</t>
        </is>
      </c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</row>
    <row r="100" ht="45" customHeight="1" s="25">
      <c r="A100" s="1" t="n"/>
      <c r="B100" s="1" t="n">
        <v>2</v>
      </c>
      <c r="C100" s="29" t="inlineStr">
        <is>
          <t>Validacion pipeline completo 24h: firmware compilado y flasheado [4 HH]</t>
        </is>
      </c>
      <c r="D100" s="1" t="n"/>
      <c r="E100" s="29" t="inlineStr">
        <is>
          <t>Monitoreo de baterías Li-Ion</t>
        </is>
      </c>
      <c r="F100" s="29" t="inlineStr">
        <is>
          <t>Requiere integración ADC</t>
        </is>
      </c>
      <c r="G100" s="1" t="n">
        <v>2</v>
      </c>
      <c r="H100" s="29" t="inlineStr">
        <is>
          <t>Backup registers RTC: tracking upload BKP0R-BKP19R [4 HH]</t>
        </is>
      </c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</row>
    <row r="101" ht="45" customHeight="1" s="25">
      <c r="A101" s="1" t="n"/>
      <c r="B101" s="1" t="n">
        <v>3</v>
      </c>
      <c r="C101" s="29" t="inlineStr">
        <is>
          <t>Calibracion acelerometro ADXL355: pruebas con referencia [6 HH]</t>
        </is>
      </c>
      <c r="D101" s="1" t="n"/>
      <c r="E101" s="29" t="inlineStr">
        <is>
          <t>Val. banco baterías Li-Ion</t>
        </is>
      </c>
      <c r="F101" s="29" t="inlineStr">
        <is>
          <t>Requiere celdas y circuito</t>
        </is>
      </c>
      <c r="G101" s="1" t="n">
        <v>3</v>
      </c>
      <c r="H101" s="29" t="inlineStr">
        <is>
          <t>Modem_PowerOff reubicado a modem_task + fix NRST [4 HH]</t>
        </is>
      </c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</row>
    <row r="102" ht="45" customHeight="1" s="25">
      <c r="A102" s="1" t="n"/>
      <c r="B102" s="1" t="n">
        <v>4</v>
      </c>
      <c r="C102" s="29" t="inlineStr">
        <is>
          <t>Buffer local SD: diseno arquitectura e implementacion inicial [4 HH]</t>
        </is>
      </c>
      <c r="D102" s="1" t="n"/>
      <c r="E102" s="29" t="inlineStr">
        <is>
          <t>---</t>
        </is>
      </c>
      <c r="F102" s="29" t="n"/>
      <c r="G102" s="1" t="n">
        <v>4</v>
      </c>
      <c r="H102" s="29" t="inlineStr">
        <is>
          <t>Boot scan + fix UB + upload concurrente [4 HH]</t>
        </is>
      </c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</row>
    <row r="103" ht="13" customHeight="1" s="25">
      <c r="A103" s="1" t="n"/>
      <c r="B103" s="30" t="inlineStr">
        <is>
          <t>Total HH:</t>
        </is>
      </c>
      <c r="C103" s="1">
        <f>C99+C100+C101+C102</f>
        <v/>
      </c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</row>
    <row r="104" ht="15" customHeight="1" s="25">
      <c r="A104" s="1" t="n"/>
      <c r="B104" s="27" t="inlineStr">
        <is>
          <t>Semana 26: 23 al 27 Jun 2026 [ACTUAL]</t>
        </is>
      </c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</row>
    <row r="105" ht="15" customHeight="1" s="25">
      <c r="A105" s="1" t="n"/>
      <c r="B105" s="28" t="inlineStr">
        <is>
          <t>Ítem</t>
        </is>
      </c>
      <c r="C105" s="28" t="inlineStr">
        <is>
          <t>Actividades Semana pasada</t>
        </is>
      </c>
      <c r="D105" s="28" t="inlineStr">
        <is>
          <t>Ítem</t>
        </is>
      </c>
      <c r="E105" s="28" t="inlineStr">
        <is>
          <t>Actividades Pendientes</t>
        </is>
      </c>
      <c r="F105" s="28" t="inlineStr">
        <is>
          <t>Motivo</t>
        </is>
      </c>
      <c r="G105" s="28" t="inlineStr">
        <is>
          <t>Ítem</t>
        </is>
      </c>
      <c r="H105" s="28" t="inlineStr">
        <is>
          <t>Actividades para esta semana</t>
        </is>
      </c>
      <c r="I105" s="1" t="n"/>
      <c r="J105" s="28" t="inlineStr">
        <is>
          <t>Sem</t>
        </is>
      </c>
      <c r="K105" s="28" t="inlineStr">
        <is>
          <t>Total HH</t>
        </is>
      </c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</row>
    <row r="106" ht="45" customHeight="1" s="25">
      <c r="A106" s="1" t="n"/>
      <c r="B106" s="1" t="n">
        <v>1</v>
      </c>
      <c r="C106" s="29" t="inlineStr">
        <is>
          <t>Upload pipeline estable: 3 uploads encadenados (TRIG_006/007/008) sin NRST. Backup registers funcionando (BKP0R-BKP19R). Modem_PowerOff reubicado a modem_task. [6 HH]</t>
        </is>
      </c>
      <c r="D106" s="1" t="n"/>
      <c r="E106" s="29" t="inlineStr">
        <is>
          <t>NTP: falla con ambos servidores Google/pool.ntp.org</t>
        </is>
      </c>
      <c r="F106" s="29" t="inlineStr">
        <is>
          <t>Documentación de comandos AT+NTP</t>
        </is>
      </c>
      <c r="G106" s="1" t="n">
        <v>1</v>
      </c>
      <c r="H106" s="29" t="inlineStr">
        <is>
          <t>Validacion pipeline 48h: multiple triggers + upload sin NRST [8 HH]</t>
        </is>
      </c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</row>
    <row r="107" ht="45" customHeight="1" s="25">
      <c r="A107" s="1" t="n"/>
      <c r="B107" s="1" t="n">
        <v>2</v>
      </c>
      <c r="C107" s="29" t="inlineStr">
        <is>
          <t>Cola RAM upload 8 slots: implementacion, fix upload_queue_pop(NULL,0) UB, boot scan con skip por backup register. [4 HH]</t>
        </is>
      </c>
      <c r="D107" s="1" t="n"/>
      <c r="E107" s="29" t="inlineStr">
        <is>
          <t>SD mount: falla primer intento, exito en retry</t>
        </is>
      </c>
      <c r="F107" s="29" t="inlineStr">
        <is>
          <t>Diseño esquemático y layout</t>
        </is>
      </c>
      <c r="G107" s="1" t="n">
        <v>2</v>
      </c>
      <c r="H107" s="29" t="inlineStr">
        <is>
          <t>Fix SD mount retry: investigar causa primer fallo [4 HH]</t>
        </is>
      </c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</row>
    <row r="108" ht="45" customHeight="1" s="25">
      <c r="A108" s="1" t="n"/>
      <c r="B108" s="1" t="n">
        <v>3</v>
      </c>
      <c r="C108" s="29" t="inlineStr">
        <is>
          <t>Upload concurrente con adquisicion: sensor_task adquiere mientras modem sube. Validado con TRIG_006/007/008 simultaneos. [4 HH]</t>
        </is>
      </c>
      <c r="D108" s="1" t="n"/>
      <c r="E108" s="29" t="inlineStr">
        <is>
          <t>Modem_PowerOff: NRST residual posible por corriente</t>
        </is>
      </c>
      <c r="F108" s="29" t="inlineStr">
        <is>
          <t>Sensores de corriente/voltaje</t>
        </is>
      </c>
      <c r="G108" s="1" t="n">
        <v>3</v>
      </c>
      <c r="H108" s="29" t="inlineStr">
        <is>
          <t>NTP: debug con dump AT completo + timing [4 HH]</t>
        </is>
      </c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</row>
    <row r="109" ht="45" customHeight="1" s="25">
      <c r="A109" s="1" t="n"/>
      <c r="B109" s="1" t="n">
        <v>4</v>
      </c>
      <c r="C109" s="29" t="inlineStr">
        <is>
          <t>GANTT actualizado. Documentacion de arquitectura. [2 HH]</t>
        </is>
      </c>
      <c r="D109" s="1" t="n"/>
      <c r="E109" s="29" t="inlineStr">
        <is>
          <t>---</t>
        </is>
      </c>
      <c r="F109" s="29" t="n"/>
      <c r="G109" s="1" t="n">
        <v>4</v>
      </c>
      <c r="H109" s="29" t="inlineStr">
        <is>
          <t>Documentacion tecnica v1.2.0 + GANTT final [2 HH]</t>
        </is>
      </c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</row>
    <row r="110" ht="13" customHeight="1" s="25">
      <c r="A110" s="1" t="n"/>
      <c r="B110" s="30" t="inlineStr">
        <is>
          <t>Total HH:</t>
        </is>
      </c>
      <c r="C110" s="1">
        <f>C106+C107+C108+C109</f>
        <v/>
      </c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</row>
    <row r="111" ht="15" customHeight="1" s="25">
      <c r="A111" s="1" t="n"/>
      <c r="B111" s="27" t="inlineStr">
        <is>
          <t>Semana 27: 30 Jun al 04 Jul 2026</t>
        </is>
      </c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</row>
    <row r="112" ht="15" customHeight="1" s="25">
      <c r="A112" s="1" t="n"/>
      <c r="B112" s="28" t="inlineStr">
        <is>
          <t>Ítem</t>
        </is>
      </c>
      <c r="C112" s="28" t="inlineStr">
        <is>
          <t>Actividades Semana pasada</t>
        </is>
      </c>
      <c r="D112" s="28" t="inlineStr">
        <is>
          <t>Ítem</t>
        </is>
      </c>
      <c r="E112" s="28" t="inlineStr">
        <is>
          <t>Actividades Pendientes</t>
        </is>
      </c>
      <c r="F112" s="28" t="inlineStr">
        <is>
          <t>Motivo</t>
        </is>
      </c>
      <c r="G112" s="28" t="inlineStr">
        <is>
          <t>Ítem</t>
        </is>
      </c>
      <c r="H112" s="28" t="inlineStr">
        <is>
          <t>Actividades para esta semana</t>
        </is>
      </c>
      <c r="I112" s="1" t="n"/>
      <c r="J112" s="28" t="inlineStr">
        <is>
          <t>Sem</t>
        </is>
      </c>
      <c r="K112" s="28" t="inlineStr">
        <is>
          <t>Total HH</t>
        </is>
      </c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</row>
    <row r="113" ht="45" customHeight="1" s="25">
      <c r="A113" s="1" t="n"/>
      <c r="B113" s="1" t="n">
        <v>1</v>
      </c>
      <c r="C113" s="29" t="n"/>
      <c r="D113" s="1" t="n"/>
      <c r="E113" s="29" t="inlineStr">
        <is>
          <t>PCB alimentación: esquemático</t>
        </is>
      </c>
      <c r="F113" s="29" t="inlineStr">
        <is>
          <t>Herramientas EDA (KiCad)</t>
        </is>
      </c>
      <c r="G113" s="1" t="n">
        <v>1</v>
      </c>
      <c r="H113" s="29" t="inlineStr">
        <is>
          <t>NTP: pruebas de sincronización en laboratorio [6 HH]</t>
        </is>
      </c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</row>
    <row r="114" ht="45" customHeight="1" s="25">
      <c r="A114" s="1" t="n"/>
      <c r="B114" s="1" t="n">
        <v>2</v>
      </c>
      <c r="C114" s="29" t="n"/>
      <c r="D114" s="1" t="n"/>
      <c r="E114" s="29" t="inlineStr">
        <is>
          <t>PCB alimentación: layout</t>
        </is>
      </c>
      <c r="F114" s="29" t="inlineStr">
        <is>
          <t>Depende de esquemático aprobado</t>
        </is>
      </c>
      <c r="G114" s="1" t="n">
        <v>2</v>
      </c>
      <c r="H114" s="29" t="inlineStr">
        <is>
          <t>Monitoreo baterías: ADC STM32 + temperatura [6 HH]</t>
        </is>
      </c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</row>
    <row r="115" ht="45" customHeight="1" s="25">
      <c r="A115" s="1" t="n"/>
      <c r="B115" s="1" t="n">
        <v>3</v>
      </c>
      <c r="C115" s="29" t="n"/>
      <c r="D115" s="1" t="n"/>
      <c r="E115" s="29" t="inlineStr">
        <is>
          <t>Protecciones eléctricas (OV, reverse)</t>
        </is>
      </c>
      <c r="F115" s="29" t="inlineStr">
        <is>
          <t>Especificación de márgenes</t>
        </is>
      </c>
      <c r="G115" s="1" t="n">
        <v>3</v>
      </c>
      <c r="H115" s="29" t="inlineStr">
        <is>
          <t>PCB alimentación: diseño esquemático [8 HH]</t>
        </is>
      </c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</row>
    <row r="116" ht="45" customHeight="1" s="25">
      <c r="A116" s="1" t="n"/>
      <c r="B116" s="1" t="n">
        <v>4</v>
      </c>
      <c r="C116" s="29" t="n"/>
      <c r="D116" s="1" t="n"/>
      <c r="E116" s="29" t="inlineStr">
        <is>
          <t>---</t>
        </is>
      </c>
      <c r="F116" s="29" t="n"/>
      <c r="G116" s="1" t="n">
        <v>4</v>
      </c>
      <c r="H116" s="29" t="inlineStr">
        <is>
          <t>---</t>
        </is>
      </c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</row>
    <row r="117" ht="13" customHeight="1" s="25">
      <c r="A117" s="1" t="n"/>
      <c r="B117" s="30" t="inlineStr">
        <is>
          <t>Total HH:</t>
        </is>
      </c>
      <c r="C117" s="1">
        <f>C113+C114+C115+C116</f>
        <v/>
      </c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</row>
    <row r="118" ht="15" customHeight="1" s="25">
      <c r="A118" s="1" t="n"/>
      <c r="B118" s="27" t="inlineStr">
        <is>
          <t>Semana 28: 07 al 11 Jul 2026</t>
        </is>
      </c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</row>
    <row r="119" ht="15" customHeight="1" s="25">
      <c r="A119" s="1" t="n"/>
      <c r="B119" s="28" t="inlineStr">
        <is>
          <t>Ítem</t>
        </is>
      </c>
      <c r="C119" s="28" t="inlineStr">
        <is>
          <t>Actividades Semana pasada</t>
        </is>
      </c>
      <c r="D119" s="28" t="inlineStr">
        <is>
          <t>Ítem</t>
        </is>
      </c>
      <c r="E119" s="28" t="inlineStr">
        <is>
          <t>Actividades Pendientes</t>
        </is>
      </c>
      <c r="F119" s="28" t="inlineStr">
        <is>
          <t>Motivo</t>
        </is>
      </c>
      <c r="G119" s="28" t="inlineStr">
        <is>
          <t>Ítem</t>
        </is>
      </c>
      <c r="H119" s="28" t="inlineStr">
        <is>
          <t>Actividades para esta semana</t>
        </is>
      </c>
      <c r="I119" s="1" t="n"/>
      <c r="J119" s="28" t="inlineStr">
        <is>
          <t>Sem</t>
        </is>
      </c>
      <c r="K119" s="28" t="inlineStr">
        <is>
          <t>Total HH</t>
        </is>
      </c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</row>
    <row r="120" ht="45" customHeight="1" s="25">
      <c r="A120" s="1" t="n"/>
      <c r="B120" s="1" t="n">
        <v>1</v>
      </c>
      <c r="C120" s="29" t="n"/>
      <c r="D120" s="1" t="n"/>
      <c r="E120" s="29" t="inlineStr">
        <is>
          <t>Fabricación PCB alimentación</t>
        </is>
      </c>
      <c r="F120" s="29" t="inlineStr">
        <is>
          <t>Lead time ~2 semanas</t>
        </is>
      </c>
      <c r="G120" s="1" t="n">
        <v>1</v>
      </c>
      <c r="H120" s="29" t="inlineStr">
        <is>
          <t>PCB alimentación: layout y routing [10 HH]</t>
        </is>
      </c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</row>
    <row r="121" ht="45" customHeight="1" s="25">
      <c r="A121" s="1" t="n"/>
      <c r="B121" s="1" t="n">
        <v>2</v>
      </c>
      <c r="C121" s="29" t="n"/>
      <c r="D121" s="1" t="n"/>
      <c r="E121" s="29" t="inlineStr">
        <is>
          <t>Validación energética condiciones reales</t>
        </is>
      </c>
      <c r="F121" s="29" t="inlineStr">
        <is>
          <t>Requiere PCB alimentación</t>
        </is>
      </c>
      <c r="G121" s="1" t="n">
        <v>2</v>
      </c>
      <c r="H121" s="29" t="inlineStr">
        <is>
          <t>Monitoreo fotovoltaico: sensor INA219 [4 HH]</t>
        </is>
      </c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</row>
    <row r="122" ht="45" customHeight="1" s="25">
      <c r="A122" s="1" t="n"/>
      <c r="B122" s="1" t="n">
        <v>3</v>
      </c>
      <c r="C122" s="29" t="n"/>
      <c r="D122" s="1" t="n"/>
      <c r="E122" s="29" t="inlineStr">
        <is>
          <t>Encapsulado IP65: diseño</t>
        </is>
      </c>
      <c r="F122" s="29" t="inlineStr">
        <is>
          <t>Requiere medidas finales</t>
        </is>
      </c>
      <c r="G122" s="1" t="n">
        <v>3</v>
      </c>
      <c r="H122" s="29" t="inlineStr">
        <is>
          <t>Protecciones eléctricas: TVS + Polyswitch [4 HH]</t>
        </is>
      </c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</row>
    <row r="123" ht="45" customHeight="1" s="25">
      <c r="A123" s="1" t="n"/>
      <c r="B123" s="1" t="n">
        <v>4</v>
      </c>
      <c r="C123" s="29" t="n"/>
      <c r="D123" s="1" t="n"/>
      <c r="E123" s="29" t="inlineStr">
        <is>
          <t>---</t>
        </is>
      </c>
      <c r="F123" s="29" t="n"/>
      <c r="G123" s="1" t="n">
        <v>4</v>
      </c>
      <c r="H123" s="29" t="inlineStr">
        <is>
          <t>---</t>
        </is>
      </c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</row>
    <row r="124" ht="13" customHeight="1" s="25">
      <c r="A124" s="1" t="n"/>
      <c r="B124" s="30" t="inlineStr">
        <is>
          <t>Total HH:</t>
        </is>
      </c>
      <c r="C124" s="1">
        <f>C120+C121+C122+C123</f>
        <v/>
      </c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</row>
    <row r="125" ht="15" customHeight="1" s="25">
      <c r="A125" s="1" t="n"/>
      <c r="B125" s="27" t="inlineStr">
        <is>
          <t>Semana 29-30: 14 al 25 Jul 2026</t>
        </is>
      </c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</row>
    <row r="126" ht="15" customHeight="1" s="25">
      <c r="A126" s="1" t="n"/>
      <c r="B126" s="28" t="inlineStr">
        <is>
          <t>Ítem</t>
        </is>
      </c>
      <c r="C126" s="28" t="inlineStr">
        <is>
          <t>Actividades Semana pasada</t>
        </is>
      </c>
      <c r="D126" s="28" t="inlineStr">
        <is>
          <t>Ítem</t>
        </is>
      </c>
      <c r="E126" s="28" t="inlineStr">
        <is>
          <t>Actividades Pendientes</t>
        </is>
      </c>
      <c r="F126" s="28" t="inlineStr">
        <is>
          <t>Motivo</t>
        </is>
      </c>
      <c r="G126" s="28" t="inlineStr">
        <is>
          <t>Ítem</t>
        </is>
      </c>
      <c r="H126" s="28" t="inlineStr">
        <is>
          <t>Actividades para esta semana</t>
        </is>
      </c>
      <c r="I126" s="1" t="n"/>
      <c r="J126" s="28" t="inlineStr">
        <is>
          <t>Sem</t>
        </is>
      </c>
      <c r="K126" s="28" t="inlineStr">
        <is>
          <t>Total HH</t>
        </is>
      </c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</row>
    <row r="127" ht="45" customHeight="1" s="25">
      <c r="A127" s="1" t="n"/>
      <c r="B127" s="1" t="n">
        <v>1</v>
      </c>
      <c r="C127" s="29" t="n"/>
      <c r="D127" s="1" t="n"/>
      <c r="E127" s="29" t="inlineStr">
        <is>
          <t>Ensamblaje PCB alimentación</t>
        </is>
      </c>
      <c r="F127" s="29" t="inlineStr">
        <is>
          <t>Esperar PCB fabricado</t>
        </is>
      </c>
      <c r="G127" s="1" t="n">
        <v>1</v>
      </c>
      <c r="H127" s="29" t="inlineStr">
        <is>
          <t>Fabricación PCB alimentación: Gerber + BOM [6 HH]</t>
        </is>
      </c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</row>
    <row r="128" ht="45" customHeight="1" s="25">
      <c r="A128" s="1" t="n"/>
      <c r="B128" s="1" t="n">
        <v>2</v>
      </c>
      <c r="C128" s="29" t="n"/>
      <c r="D128" s="1" t="n"/>
      <c r="E128" s="29" t="inlineStr">
        <is>
          <t>Pruebas integración eléctrica</t>
        </is>
      </c>
      <c r="F128" s="29" t="inlineStr">
        <is>
          <t>Requiere PCB ensamblado</t>
        </is>
      </c>
      <c r="G128" s="1" t="n">
        <v>2</v>
      </c>
      <c r="H128" s="29" t="inlineStr">
        <is>
          <t>Buffer local: integración con pipeline SD [6 HH]</t>
        </is>
      </c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</row>
    <row r="129" ht="45" customHeight="1" s="25">
      <c r="A129" s="1" t="n"/>
      <c r="B129" s="1" t="n">
        <v>3</v>
      </c>
      <c r="C129" s="29" t="n"/>
      <c r="D129" s="1" t="n"/>
      <c r="E129" s="29" t="inlineStr">
        <is>
          <t>Validación contra sistema referencia</t>
        </is>
      </c>
      <c r="F129" s="29" t="inlineStr">
        <is>
          <t>Setup de prueba acelerómetro</t>
        </is>
      </c>
      <c r="G129" s="1" t="n">
        <v>3</v>
      </c>
      <c r="H129" s="29" t="inlineStr">
        <is>
          <t>Encapsulado IP65: selección y compra [4 HH]</t>
        </is>
      </c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</row>
    <row r="130" ht="45" customHeight="1" s="25">
      <c r="A130" s="1" t="n"/>
      <c r="B130" s="1" t="n">
        <v>4</v>
      </c>
      <c r="C130" s="29" t="n"/>
      <c r="D130" s="1" t="n"/>
      <c r="E130" s="29" t="inlineStr">
        <is>
          <t>---</t>
        </is>
      </c>
      <c r="F130" s="29" t="n"/>
      <c r="G130" s="1" t="n">
        <v>4</v>
      </c>
      <c r="H130" s="29" t="inlineStr">
        <is>
          <t>Inicio métricas calidad señal (RSSI, SNR) [4 HH]</t>
        </is>
      </c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</row>
    <row r="131" ht="13" customHeight="1" s="25">
      <c r="A131" s="1" t="n"/>
      <c r="B131" s="30" t="inlineStr">
        <is>
          <t>Total HH:</t>
        </is>
      </c>
      <c r="C131" s="1">
        <f>C127+C128+C129+C130</f>
        <v/>
      </c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</row>
    <row r="132" ht="13" customHeight="1" s="25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</row>
    <row r="133" ht="15" customHeight="1" s="25">
      <c r="A133" s="1" t="n"/>
      <c r="B133" s="31" t="inlineStr">
        <is>
          <t>📌 Planificación generada desde GANTT 2026 — Semana actual: 25 (16-20 Jun 2026)</t>
        </is>
      </c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</row>
    <row r="134" ht="13" customHeight="1" s="25">
      <c r="A134" s="1" t="n"/>
      <c r="B134" s="31" t="inlineStr">
        <is>
          <t>📋 Próximas 6 semanas: P1 Adquisición (continua, DMA, calibración, NTP, buffer) + P1 Energía (baterías, PCB, protecciones)</t>
        </is>
      </c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</row>
    <row r="135" ht="13" customHeight="1" s="2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</row>
    <row r="136" ht="13" customHeight="1" s="25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</row>
    <row r="137" ht="13" customHeight="1" s="25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</row>
    <row r="138" ht="13" customHeight="1" s="25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</row>
    <row r="139" ht="13" customHeight="1" s="25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</row>
    <row r="140" ht="13" customHeight="1" s="25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</row>
    <row r="141" ht="13" customHeight="1" s="25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</row>
    <row r="142" ht="13" customHeight="1" s="25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</row>
    <row r="143" ht="13" customHeight="1" s="25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</row>
    <row r="144" ht="13" customHeight="1" s="25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</row>
    <row r="145" ht="13" customHeight="1" s="2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</row>
    <row r="146" ht="13" customHeight="1" s="25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</row>
    <row r="147" ht="13" customHeight="1" s="25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</row>
    <row r="148" ht="13" customHeight="1" s="25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</row>
    <row r="149" ht="13" customHeight="1" s="25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</row>
    <row r="150" ht="13" customHeight="1" s="25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</row>
    <row r="151" ht="13" customHeight="1" s="2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</row>
    <row r="152" ht="13" customHeight="1" s="2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</row>
    <row r="153" ht="13" customHeight="1" s="2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</row>
    <row r="154" ht="13" customHeight="1" s="2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</row>
    <row r="155" ht="13" customHeight="1" s="2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</row>
    <row r="156" ht="13" customHeight="1" s="25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</row>
    <row r="157" ht="13" customHeight="1" s="25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</row>
    <row r="158" ht="13" customHeight="1" s="25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</row>
    <row r="159" ht="13" customHeight="1" s="25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</row>
    <row r="160" ht="13" customHeight="1" s="25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</row>
    <row r="161" ht="13" customHeight="1" s="25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</row>
    <row r="162" ht="13" customHeight="1" s="25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</row>
    <row r="163" ht="13" customHeight="1" s="25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</row>
    <row r="164" ht="13" customHeight="1" s="25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</row>
    <row r="165" ht="13" customHeight="1" s="2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</row>
    <row r="166" ht="13" customHeight="1" s="25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</row>
    <row r="167" ht="13" customHeight="1" s="2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</row>
    <row r="168" ht="13" customHeight="1" s="2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</row>
    <row r="169" ht="13" customHeight="1" s="2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</row>
    <row r="170" ht="13" customHeight="1" s="2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</row>
    <row r="171" ht="13" customHeight="1" s="2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</row>
    <row r="172" ht="13" customHeight="1" s="2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</row>
    <row r="173" ht="13" customHeight="1" s="2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</row>
    <row r="174" ht="13" customHeight="1" s="2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</row>
    <row r="175" ht="13" customHeight="1" s="2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</row>
    <row r="176" ht="13" customHeight="1" s="2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</row>
    <row r="177" ht="13" customHeight="1" s="2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</row>
    <row r="178" ht="13" customHeight="1" s="2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</row>
    <row r="179" ht="13" customHeight="1" s="2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</row>
    <row r="180" ht="13" customHeight="1" s="2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</row>
    <row r="181" ht="13" customHeight="1" s="2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</row>
    <row r="182" ht="13" customHeight="1" s="2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</row>
    <row r="183" ht="13" customHeight="1" s="2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</row>
    <row r="184" ht="13" customHeight="1" s="2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</row>
    <row r="185" ht="13" customHeight="1" s="2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</row>
    <row r="186" ht="13" customHeight="1" s="2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</row>
    <row r="187" ht="13" customHeight="1" s="2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</row>
    <row r="188" ht="13" customHeight="1" s="2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</row>
    <row r="189" ht="13" customHeight="1" s="2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</row>
    <row r="190" ht="13" customHeight="1" s="2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</row>
    <row r="191" ht="13" customHeight="1" s="2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</row>
    <row r="192" ht="13" customHeight="1" s="2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</row>
    <row r="193" ht="13" customHeight="1" s="2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</row>
    <row r="194" ht="13" customHeight="1" s="2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</row>
    <row r="195" ht="13" customHeight="1" s="2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</row>
    <row r="196" ht="13" customHeight="1" s="2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</row>
    <row r="197" ht="13" customHeight="1" s="2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</row>
    <row r="198" ht="13" customHeight="1" s="2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</row>
    <row r="199" ht="13" customHeight="1" s="2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</row>
    <row r="200" ht="13" customHeight="1" s="2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</row>
    <row r="201" ht="13" customHeight="1" s="2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</row>
    <row r="202" ht="13" customHeight="1" s="2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</row>
    <row r="203" ht="13" customHeight="1" s="2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</row>
    <row r="204" ht="13" customHeight="1" s="2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</row>
    <row r="205" ht="13" customHeight="1" s="2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</row>
    <row r="206" ht="13" customHeight="1" s="2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</row>
    <row r="207" ht="13" customHeight="1" s="2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</row>
    <row r="208" ht="13" customHeight="1" s="2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</row>
    <row r="209" ht="13" customHeight="1" s="2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</row>
    <row r="210" ht="13" customHeight="1" s="2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</row>
    <row r="211" ht="13" customHeight="1" s="2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</row>
    <row r="212" ht="13" customHeight="1" s="2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</row>
    <row r="213" ht="13" customHeight="1" s="2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</row>
    <row r="214" ht="13" customHeight="1" s="2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</row>
    <row r="215" ht="13" customHeight="1" s="2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</row>
    <row r="216" ht="13" customHeight="1" s="2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</row>
    <row r="217" ht="13" customHeight="1" s="2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</row>
    <row r="218" ht="13" customHeight="1" s="2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</row>
    <row r="219" ht="13" customHeight="1" s="2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</row>
    <row r="220" ht="13" customHeight="1" s="2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</row>
    <row r="221" ht="13" customHeight="1" s="2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</row>
    <row r="222" ht="13" customHeight="1" s="2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</row>
    <row r="223" ht="13" customHeight="1" s="2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</row>
    <row r="224" ht="13" customHeight="1" s="2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</row>
    <row r="225" ht="13" customHeight="1" s="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</row>
    <row r="226" ht="13" customHeight="1" s="2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</row>
    <row r="227" ht="13" customHeight="1" s="2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</row>
    <row r="228" ht="13" customHeight="1" s="2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</row>
    <row r="229" ht="13" customHeight="1" s="2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</row>
    <row r="230" ht="13" customHeight="1" s="2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</row>
    <row r="231" ht="13" customHeight="1" s="2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</row>
    <row r="232" ht="13" customHeight="1" s="2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</row>
    <row r="233" ht="13" customHeight="1" s="2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</row>
    <row r="234" ht="13" customHeight="1" s="2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</row>
    <row r="235" ht="13" customHeight="1" s="2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</row>
    <row r="236" ht="13" customHeight="1" s="25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</row>
    <row r="237" ht="13" customHeight="1" s="25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</row>
    <row r="238" ht="13" customHeight="1" s="25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</row>
    <row r="239" ht="13" customHeight="1" s="25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</row>
    <row r="240" ht="13" customHeight="1" s="25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</row>
    <row r="241" ht="13" customHeight="1" s="25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</row>
    <row r="242" ht="13" customHeight="1" s="25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</row>
    <row r="243" ht="13" customHeight="1" s="25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</row>
    <row r="244" ht="13" customHeight="1" s="25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</row>
    <row r="245" ht="13" customHeight="1" s="2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</row>
    <row r="246" ht="13" customHeight="1" s="25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</row>
    <row r="247" ht="13" customHeight="1" s="25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</row>
    <row r="248" ht="13" customHeight="1" s="25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</row>
    <row r="249" ht="13" customHeight="1" s="25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</row>
    <row r="250" ht="13" customHeight="1" s="25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</row>
    <row r="251" ht="13" customHeight="1" s="25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</row>
    <row r="252" ht="13" customHeight="1" s="25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</row>
    <row r="253" ht="13" customHeight="1" s="25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</row>
    <row r="254" ht="13" customHeight="1" s="25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</row>
    <row r="255" ht="13" customHeight="1" s="2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</row>
    <row r="256" ht="13" customHeight="1" s="25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</row>
    <row r="257" ht="13" customHeight="1" s="25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</row>
    <row r="258" ht="13" customHeight="1" s="25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</row>
    <row r="259" ht="13" customHeight="1" s="25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</row>
    <row r="260" ht="13" customHeight="1" s="25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</row>
    <row r="261" ht="13" customHeight="1" s="25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</row>
    <row r="262" ht="13" customHeight="1" s="25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</row>
    <row r="263" ht="13" customHeight="1" s="25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</row>
    <row r="264" ht="13" customHeight="1" s="25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</row>
    <row r="265" ht="13" customHeight="1" s="2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</row>
    <row r="266" ht="13" customHeight="1" s="25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</row>
    <row r="267" ht="13" customHeight="1" s="25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</row>
    <row r="268" ht="13" customHeight="1" s="25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</row>
    <row r="269" ht="13" customHeight="1" s="25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</row>
    <row r="270" ht="13" customHeight="1" s="25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</row>
    <row r="271" ht="13" customHeight="1" s="25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</row>
    <row r="272" ht="13" customHeight="1" s="25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</row>
    <row r="273" ht="13" customHeight="1" s="25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</row>
    <row r="274" ht="13" customHeight="1" s="25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</row>
    <row r="275" ht="13" customHeight="1" s="2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</row>
    <row r="276" ht="13" customHeight="1" s="25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</row>
    <row r="277" ht="13" customHeight="1" s="25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</row>
    <row r="278" ht="13" customHeight="1" s="25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</row>
    <row r="279" ht="13" customHeight="1" s="25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</row>
    <row r="280" ht="13" customHeight="1" s="25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</row>
    <row r="281" ht="13" customHeight="1" s="25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</row>
    <row r="282" ht="13" customHeight="1" s="25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</row>
    <row r="283" ht="13" customHeight="1" s="25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</row>
    <row r="284" ht="13" customHeight="1" s="25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</row>
    <row r="285" ht="13" customHeight="1" s="2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</row>
    <row r="286" ht="13" customHeight="1" s="25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</row>
    <row r="287" ht="13" customHeight="1" s="25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</row>
    <row r="288" ht="13" customHeight="1" s="25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</row>
    <row r="289" ht="13" customHeight="1" s="25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</row>
    <row r="290" ht="13" customHeight="1" s="25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</row>
    <row r="291" ht="13" customHeight="1" s="25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</row>
    <row r="292" ht="13" customHeight="1" s="25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</row>
    <row r="293" ht="13" customHeight="1" s="25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</row>
    <row r="294" ht="13" customHeight="1" s="25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</row>
    <row r="295" ht="13" customHeight="1" s="2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</row>
    <row r="296" ht="13" customHeight="1" s="25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</row>
    <row r="297" ht="13" customHeight="1" s="25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</row>
    <row r="298" ht="13" customHeight="1" s="25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</row>
    <row r="299" ht="13" customHeight="1" s="25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</row>
    <row r="300" ht="13" customHeight="1" s="25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</row>
    <row r="301" ht="13" customHeight="1" s="25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</row>
    <row r="302" ht="13" customHeight="1" s="25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</row>
    <row r="303" ht="13" customHeight="1" s="25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</row>
    <row r="304" ht="13" customHeight="1" s="25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</row>
    <row r="305" ht="13" customHeight="1" s="2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</row>
    <row r="306" ht="13" customHeight="1" s="25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</row>
    <row r="307" ht="13" customHeight="1" s="25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</row>
    <row r="308" ht="13" customHeight="1" s="25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</row>
    <row r="309" ht="13" customHeight="1" s="25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</row>
    <row r="310" ht="13" customHeight="1" s="25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</row>
    <row r="311" ht="13" customHeight="1" s="25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</row>
    <row r="312" ht="13" customHeight="1" s="25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</row>
    <row r="313" ht="13" customHeight="1" s="25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</row>
    <row r="314" ht="13" customHeight="1" s="25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</row>
    <row r="315" ht="13" customHeight="1" s="2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</row>
    <row r="316" ht="13" customHeight="1" s="25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</row>
    <row r="317" ht="13" customHeight="1" s="25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</row>
    <row r="318" ht="13" customHeight="1" s="25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</row>
    <row r="319" ht="13" customHeight="1" s="25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</row>
    <row r="320" ht="13" customHeight="1" s="25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</row>
    <row r="321" ht="13" customHeight="1" s="25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</row>
    <row r="322" ht="13" customHeight="1" s="25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</row>
    <row r="323" ht="13" customHeight="1" s="25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</row>
    <row r="324" ht="13" customHeight="1" s="25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</row>
    <row r="325" ht="13" customHeight="1" s="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</row>
    <row r="326" ht="13" customHeight="1" s="25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</row>
    <row r="327" ht="13" customHeight="1" s="25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</row>
    <row r="328" ht="13" customHeight="1" s="25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</row>
    <row r="329" ht="13" customHeight="1" s="25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</row>
    <row r="330" ht="13" customHeight="1" s="25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</row>
    <row r="331" ht="13" customHeight="1" s="25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</row>
    <row r="332" ht="13" customHeight="1" s="25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</row>
    <row r="333" ht="13" customHeight="1" s="25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</row>
    <row r="334" ht="13" customHeight="1" s="25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</row>
    <row r="335" ht="13" customHeight="1" s="2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</row>
    <row r="336" ht="13" customHeight="1" s="25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</row>
    <row r="337" ht="13" customHeight="1" s="25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</row>
    <row r="338" ht="13" customHeight="1" s="25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</row>
    <row r="339" ht="13" customHeight="1" s="25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</row>
    <row r="340" ht="13" customHeight="1" s="25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</row>
    <row r="341" ht="13" customHeight="1" s="25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</row>
    <row r="342" ht="13" customHeight="1" s="25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</row>
    <row r="343" ht="13" customHeight="1" s="25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</row>
    <row r="344" ht="13" customHeight="1" s="25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</row>
    <row r="345" ht="13" customHeight="1" s="2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</row>
    <row r="346" ht="13" customHeight="1" s="25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</row>
    <row r="347" ht="13" customHeight="1" s="25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</row>
    <row r="348" ht="13" customHeight="1" s="25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</row>
    <row r="349" ht="13" customHeight="1" s="25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</row>
    <row r="350" ht="13" customHeight="1" s="25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</row>
    <row r="351" ht="13" customHeight="1" s="25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</row>
    <row r="352" ht="13" customHeight="1" s="25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</row>
    <row r="353" ht="13" customHeight="1" s="25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</row>
    <row r="354" ht="13" customHeight="1" s="25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</row>
    <row r="355" ht="13" customHeight="1" s="2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</row>
    <row r="356" ht="13" customHeight="1" s="25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</row>
    <row r="357" ht="13" customHeight="1" s="25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</row>
    <row r="358" ht="13" customHeight="1" s="25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</row>
    <row r="359" ht="13" customHeight="1" s="25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</row>
    <row r="360" ht="13" customHeight="1" s="25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</row>
    <row r="361" ht="13" customHeight="1" s="25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</row>
    <row r="362" ht="13" customHeight="1" s="25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</row>
    <row r="363" ht="13" customHeight="1" s="25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</row>
    <row r="364" ht="13" customHeight="1" s="25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</row>
    <row r="365" ht="13" customHeight="1" s="2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</row>
    <row r="366" ht="13" customHeight="1" s="25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</row>
    <row r="367" ht="13" customHeight="1" s="25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</row>
    <row r="368" ht="13" customHeight="1" s="25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</row>
    <row r="369" ht="13" customHeight="1" s="25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</row>
    <row r="370" ht="13" customHeight="1" s="25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</row>
    <row r="371" ht="13" customHeight="1" s="25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</row>
    <row r="372" ht="13" customHeight="1" s="25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</row>
    <row r="373" ht="13" customHeight="1" s="25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</row>
    <row r="374" ht="13" customHeight="1" s="25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</row>
    <row r="375" ht="13" customHeight="1" s="2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</row>
    <row r="376" ht="13" customHeight="1" s="25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</row>
    <row r="377" ht="13" customHeight="1" s="25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</row>
    <row r="378" ht="13" customHeight="1" s="25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</row>
    <row r="379" ht="13" customHeight="1" s="25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</row>
    <row r="380" ht="13" customHeight="1" s="25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</row>
    <row r="381" ht="13" customHeight="1" s="25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</row>
    <row r="382" ht="13" customHeight="1" s="25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</row>
    <row r="383" ht="13" customHeight="1" s="25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</row>
    <row r="384" ht="13" customHeight="1" s="25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</row>
    <row r="385" ht="13" customHeight="1" s="2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</row>
    <row r="386" ht="13" customHeight="1" s="25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</row>
    <row r="387" ht="13" customHeight="1" s="25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</row>
    <row r="388" ht="13" customHeight="1" s="25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</row>
    <row r="389" ht="13" customHeight="1" s="25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</row>
    <row r="390" ht="13" customHeight="1" s="25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</row>
    <row r="391" ht="13" customHeight="1" s="25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</row>
    <row r="392" ht="13" customHeight="1" s="25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</row>
    <row r="393" ht="13" customHeight="1" s="25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</row>
    <row r="394" ht="13" customHeight="1" s="25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</row>
    <row r="395" ht="13" customHeight="1" s="2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</row>
    <row r="396" ht="13" customHeight="1" s="25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</row>
    <row r="397" ht="13" customHeight="1" s="25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</row>
    <row r="398" ht="13" customHeight="1" s="25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</row>
    <row r="399" ht="13" customHeight="1" s="25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</row>
    <row r="400" ht="13" customHeight="1" s="25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</row>
    <row r="401" ht="13" customHeight="1" s="25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</row>
    <row r="402" ht="13" customHeight="1" s="25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</row>
    <row r="403" ht="13" customHeight="1" s="25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</row>
    <row r="404" ht="13" customHeight="1" s="25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</row>
    <row r="405" ht="13" customHeight="1" s="2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</row>
    <row r="406" ht="13" customHeight="1" s="25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</row>
    <row r="407" ht="13" customHeight="1" s="25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</row>
    <row r="408" ht="13" customHeight="1" s="25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</row>
    <row r="409" ht="13" customHeight="1" s="25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</row>
    <row r="410" ht="13" customHeight="1" s="25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</row>
    <row r="411" ht="13" customHeight="1" s="25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</row>
    <row r="412" ht="13" customHeight="1" s="25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</row>
    <row r="413" ht="13" customHeight="1" s="25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</row>
    <row r="414" ht="13" customHeight="1" s="25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</row>
    <row r="415" ht="13" customHeight="1" s="2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</row>
    <row r="416" ht="13" customHeight="1" s="25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</row>
    <row r="417" ht="13" customHeight="1" s="25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</row>
    <row r="418" ht="13" customHeight="1" s="25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</row>
    <row r="419" ht="13" customHeight="1" s="25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</row>
    <row r="420" ht="13" customHeight="1" s="25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</row>
    <row r="421" ht="13" customHeight="1" s="25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</row>
    <row r="422" ht="13" customHeight="1" s="25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</row>
    <row r="423" ht="13" customHeight="1" s="25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</row>
    <row r="424" ht="13" customHeight="1" s="25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</row>
    <row r="425" ht="13" customHeight="1" s="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</row>
    <row r="426" ht="13" customHeight="1" s="25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</row>
    <row r="427" ht="13" customHeight="1" s="25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</row>
    <row r="428" ht="13" customHeight="1" s="25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</row>
    <row r="429" ht="13" customHeight="1" s="25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</row>
    <row r="430" ht="13" customHeight="1" s="25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</row>
    <row r="431" ht="13" customHeight="1" s="25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</row>
    <row r="432" ht="13" customHeight="1" s="25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</row>
    <row r="433" ht="13" customHeight="1" s="25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</row>
    <row r="434" ht="13" customHeight="1" s="25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</row>
    <row r="435" ht="13" customHeight="1" s="2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</row>
    <row r="436" ht="13" customHeight="1" s="25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</row>
    <row r="437" ht="13" customHeight="1" s="25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</row>
    <row r="438" ht="13" customHeight="1" s="25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</row>
    <row r="439" ht="13" customHeight="1" s="25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</row>
    <row r="440" ht="13" customHeight="1" s="25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</row>
    <row r="441" ht="13" customHeight="1" s="25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</row>
    <row r="442" ht="13" customHeight="1" s="25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</row>
    <row r="443" ht="13" customHeight="1" s="25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</row>
    <row r="444" ht="13" customHeight="1" s="25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</row>
    <row r="445" ht="13" customHeight="1" s="2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</row>
    <row r="446" ht="13" customHeight="1" s="25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</row>
    <row r="447" ht="13" customHeight="1" s="25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</row>
    <row r="448" ht="13" customHeight="1" s="25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</row>
    <row r="449" ht="13" customHeight="1" s="25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</row>
    <row r="450" ht="13" customHeight="1" s="25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</row>
    <row r="451" ht="13" customHeight="1" s="25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</row>
    <row r="452" ht="13" customHeight="1" s="25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</row>
    <row r="453" ht="13" customHeight="1" s="25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</row>
    <row r="454" ht="13" customHeight="1" s="25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</row>
    <row r="455" ht="13" customHeight="1" s="2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</row>
    <row r="456" ht="13" customHeight="1" s="25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</row>
    <row r="457" ht="13" customHeight="1" s="25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</row>
    <row r="458" ht="13" customHeight="1" s="25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</row>
    <row r="459" ht="13" customHeight="1" s="25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</row>
    <row r="460" ht="13" customHeight="1" s="25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</row>
    <row r="461" ht="13" customHeight="1" s="25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</row>
    <row r="462" ht="13" customHeight="1" s="25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</row>
    <row r="463" ht="13" customHeight="1" s="25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</row>
    <row r="464" ht="13" customHeight="1" s="25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</row>
    <row r="465" ht="13" customHeight="1" s="2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</row>
    <row r="466" ht="13" customHeight="1" s="25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</row>
    <row r="467" ht="13" customHeight="1" s="25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</row>
    <row r="468" ht="13" customHeight="1" s="25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</row>
    <row r="469" ht="13" customHeight="1" s="25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</row>
    <row r="470" ht="13" customHeight="1" s="25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</row>
    <row r="471" ht="13" customHeight="1" s="25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</row>
    <row r="472" ht="13" customHeight="1" s="25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</row>
    <row r="473" ht="13" customHeight="1" s="25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</row>
    <row r="474" ht="13" customHeight="1" s="25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</row>
    <row r="475" ht="13" customHeight="1" s="2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</row>
    <row r="476" ht="13" customHeight="1" s="25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</row>
    <row r="477" ht="13" customHeight="1" s="25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</row>
    <row r="478" ht="13" customHeight="1" s="25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</row>
    <row r="479" ht="13" customHeight="1" s="25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</row>
    <row r="480" ht="13" customHeight="1" s="25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</row>
    <row r="481" ht="13" customHeight="1" s="25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</row>
    <row r="482" ht="13" customHeight="1" s="25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</row>
    <row r="483" ht="13" customHeight="1" s="25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</row>
    <row r="484" ht="13" customHeight="1" s="25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</row>
    <row r="485" ht="13" customHeight="1" s="2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</row>
    <row r="486" ht="13" customHeight="1" s="25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</row>
    <row r="487" ht="13" customHeight="1" s="25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</row>
    <row r="488" ht="13" customHeight="1" s="25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</row>
    <row r="489" ht="13" customHeight="1" s="25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</row>
    <row r="490" ht="13" customHeight="1" s="25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</row>
    <row r="491" ht="13" customHeight="1" s="25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</row>
    <row r="492" ht="13" customHeight="1" s="25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</row>
    <row r="493" ht="13" customHeight="1" s="25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</row>
    <row r="494" ht="13" customHeight="1" s="25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</row>
    <row r="495" ht="13" customHeight="1" s="2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</row>
    <row r="496" ht="13" customHeight="1" s="25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</row>
    <row r="497" ht="13" customHeight="1" s="25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</row>
    <row r="498" ht="13" customHeight="1" s="25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</row>
    <row r="499" ht="13" customHeight="1" s="25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</row>
    <row r="500" ht="13" customHeight="1" s="25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</row>
    <row r="501" ht="13" customHeight="1" s="25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</row>
    <row r="502" ht="13" customHeight="1" s="25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</row>
    <row r="503" ht="13" customHeight="1" s="25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</row>
    <row r="504" ht="13" customHeight="1" s="25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</row>
    <row r="505" ht="13" customHeight="1" s="2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</row>
    <row r="506" ht="13" customHeight="1" s="25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</row>
    <row r="507" ht="13" customHeight="1" s="25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</row>
    <row r="508" ht="13" customHeight="1" s="25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</row>
    <row r="509" ht="13" customHeight="1" s="25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</row>
    <row r="510" ht="13" customHeight="1" s="25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</row>
    <row r="511" ht="13" customHeight="1" s="25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</row>
    <row r="512" ht="13" customHeight="1" s="25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</row>
    <row r="513" ht="13" customHeight="1" s="25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</row>
    <row r="514" ht="13" customHeight="1" s="25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</row>
    <row r="515" ht="13" customHeight="1" s="2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</row>
    <row r="516" ht="13" customHeight="1" s="25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</row>
    <row r="517" ht="13" customHeight="1" s="25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</row>
    <row r="518" ht="13" customHeight="1" s="25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</row>
    <row r="519" ht="13" customHeight="1" s="25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</row>
    <row r="520" ht="13" customHeight="1" s="25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</row>
    <row r="521" ht="13" customHeight="1" s="25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</row>
    <row r="522" ht="13" customHeight="1" s="25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</row>
    <row r="523" ht="13" customHeight="1" s="25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</row>
    <row r="524" ht="13" customHeight="1" s="25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</row>
    <row r="525" ht="13" customHeight="1" s="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</row>
    <row r="526" ht="13" customHeight="1" s="25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</row>
    <row r="527" ht="13" customHeight="1" s="25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</row>
    <row r="528" ht="13" customHeight="1" s="25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</row>
    <row r="529" ht="13" customHeight="1" s="25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</row>
    <row r="530" ht="13" customHeight="1" s="25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</row>
    <row r="531" ht="13" customHeight="1" s="25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</row>
    <row r="532" ht="13" customHeight="1" s="25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</row>
    <row r="533" ht="13" customHeight="1" s="25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</row>
    <row r="534" ht="13" customHeight="1" s="25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</row>
    <row r="535" ht="13" customHeight="1" s="2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</row>
    <row r="536" ht="13" customHeight="1" s="25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</row>
    <row r="537" ht="13" customHeight="1" s="25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</row>
    <row r="538" ht="13" customHeight="1" s="25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</row>
    <row r="539" ht="13" customHeight="1" s="25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</row>
    <row r="540" ht="13" customHeight="1" s="25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</row>
    <row r="541" ht="13" customHeight="1" s="25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</row>
    <row r="542" ht="13" customHeight="1" s="25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</row>
    <row r="543" ht="13" customHeight="1" s="25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</row>
    <row r="544" ht="13" customHeight="1" s="25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</row>
    <row r="545" ht="13" customHeight="1" s="2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</row>
    <row r="546" ht="13" customHeight="1" s="25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</row>
    <row r="547" ht="13" customHeight="1" s="25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</row>
    <row r="548" ht="13" customHeight="1" s="25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</row>
    <row r="549" ht="13" customHeight="1" s="25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</row>
    <row r="550" ht="13" customHeight="1" s="25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</row>
    <row r="551" ht="13" customHeight="1" s="25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</row>
    <row r="552" ht="13" customHeight="1" s="25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</row>
    <row r="553" ht="13" customHeight="1" s="25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</row>
    <row r="554" ht="13" customHeight="1" s="25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</row>
    <row r="555" ht="13" customHeight="1" s="2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</row>
    <row r="556" ht="13" customHeight="1" s="25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</row>
    <row r="557" ht="13" customHeight="1" s="25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</row>
    <row r="558" ht="13" customHeight="1" s="25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</row>
    <row r="559" ht="13" customHeight="1" s="25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</row>
    <row r="560" ht="13" customHeight="1" s="25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</row>
    <row r="561" ht="13" customHeight="1" s="25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</row>
    <row r="562" ht="13" customHeight="1" s="25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</row>
    <row r="563" ht="13" customHeight="1" s="25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</row>
    <row r="564" ht="13" customHeight="1" s="25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</row>
    <row r="565" ht="13" customHeight="1" s="2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</row>
    <row r="566" ht="13" customHeight="1" s="25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</row>
    <row r="567" ht="13" customHeight="1" s="25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</row>
    <row r="568" ht="13" customHeight="1" s="25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</row>
    <row r="569" ht="13" customHeight="1" s="25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</row>
    <row r="570" ht="13" customHeight="1" s="25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</row>
    <row r="571" ht="13" customHeight="1" s="25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</row>
    <row r="572" ht="13" customHeight="1" s="25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</row>
    <row r="573" ht="13" customHeight="1" s="25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</row>
    <row r="574" ht="13" customHeight="1" s="25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</row>
    <row r="575" ht="13" customHeight="1" s="2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</row>
    <row r="576" ht="13" customHeight="1" s="25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</row>
    <row r="577" ht="13" customHeight="1" s="25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</row>
    <row r="578" ht="13" customHeight="1" s="25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</row>
    <row r="579" ht="13" customHeight="1" s="25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</row>
    <row r="580" ht="13" customHeight="1" s="25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</row>
    <row r="581" ht="13" customHeight="1" s="25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</row>
    <row r="582" ht="13" customHeight="1" s="25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</row>
    <row r="583" ht="13" customHeight="1" s="25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</row>
    <row r="584" ht="13" customHeight="1" s="25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</row>
    <row r="585" ht="13" customHeight="1" s="2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</row>
    <row r="586" ht="13" customHeight="1" s="25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</row>
    <row r="587" ht="13" customHeight="1" s="25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</row>
    <row r="588" ht="13" customHeight="1" s="25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</row>
    <row r="589" ht="13" customHeight="1" s="25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</row>
    <row r="590" ht="13" customHeight="1" s="25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</row>
    <row r="591" ht="13" customHeight="1" s="25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</row>
    <row r="592" ht="13" customHeight="1" s="25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</row>
    <row r="593" ht="13" customHeight="1" s="25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</row>
    <row r="594" ht="13" customHeight="1" s="25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</row>
    <row r="595" ht="13" customHeight="1" s="2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</row>
    <row r="596" ht="13" customHeight="1" s="25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</row>
    <row r="597" ht="13" customHeight="1" s="25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</row>
    <row r="598" ht="13" customHeight="1" s="25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</row>
    <row r="599" ht="13" customHeight="1" s="25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</row>
    <row r="600" ht="13" customHeight="1" s="25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</row>
    <row r="601" ht="13" customHeight="1" s="25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</row>
    <row r="602" ht="13" customHeight="1" s="25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</row>
    <row r="603" ht="13" customHeight="1" s="25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</row>
    <row r="604" ht="13" customHeight="1" s="25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</row>
    <row r="605" ht="13" customHeight="1" s="2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</row>
    <row r="606" ht="13" customHeight="1" s="25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</row>
    <row r="607" ht="13" customHeight="1" s="25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</row>
    <row r="608" ht="13" customHeight="1" s="25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</row>
    <row r="609" ht="13" customHeight="1" s="25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</row>
    <row r="610" ht="13" customHeight="1" s="25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</row>
    <row r="611" ht="13" customHeight="1" s="25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</row>
    <row r="612" ht="13" customHeight="1" s="25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</row>
    <row r="613" ht="13" customHeight="1" s="25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</row>
    <row r="614" ht="13" customHeight="1" s="25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</row>
    <row r="615" ht="13" customHeight="1" s="2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</row>
    <row r="616" ht="13" customHeight="1" s="25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</row>
    <row r="617" ht="13" customHeight="1" s="25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</row>
    <row r="618" ht="13" customHeight="1" s="25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</row>
    <row r="619" ht="13" customHeight="1" s="25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</row>
    <row r="620" ht="13" customHeight="1" s="25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</row>
    <row r="621" ht="13" customHeight="1" s="25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</row>
    <row r="622" ht="13" customHeight="1" s="25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</row>
    <row r="623" ht="13" customHeight="1" s="25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</row>
    <row r="624" ht="13" customHeight="1" s="25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</row>
    <row r="625" ht="13" customHeight="1" s="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</row>
    <row r="626" ht="13" customHeight="1" s="25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</row>
    <row r="627" ht="13" customHeight="1" s="25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</row>
    <row r="628" ht="13" customHeight="1" s="25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</row>
    <row r="629" ht="13" customHeight="1" s="25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</row>
    <row r="630" ht="13" customHeight="1" s="25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</row>
    <row r="631" ht="13" customHeight="1" s="25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</row>
    <row r="632" ht="13" customHeight="1" s="25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</row>
    <row r="633" ht="13" customHeight="1" s="25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</row>
    <row r="634" ht="13" customHeight="1" s="25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</row>
    <row r="635" ht="13" customHeight="1" s="2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</row>
    <row r="636" ht="13" customHeight="1" s="25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</row>
    <row r="637" ht="13" customHeight="1" s="25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</row>
    <row r="638" ht="13" customHeight="1" s="25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</row>
    <row r="639" ht="13" customHeight="1" s="25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</row>
    <row r="640" ht="13" customHeight="1" s="25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</row>
    <row r="641" ht="13" customHeight="1" s="25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</row>
    <row r="642" ht="13" customHeight="1" s="25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</row>
    <row r="643" ht="13" customHeight="1" s="25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</row>
    <row r="644" ht="13" customHeight="1" s="25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</row>
    <row r="645" ht="13" customHeight="1" s="2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</row>
    <row r="646" ht="13" customHeight="1" s="25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</row>
    <row r="647" ht="13" customHeight="1" s="25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</row>
    <row r="648" ht="13" customHeight="1" s="25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</row>
    <row r="649" ht="13" customHeight="1" s="25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</row>
    <row r="650" ht="13" customHeight="1" s="25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</row>
    <row r="651" ht="13" customHeight="1" s="25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</row>
    <row r="652" ht="13" customHeight="1" s="25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</row>
    <row r="653" ht="13" customHeight="1" s="25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</row>
    <row r="654" ht="13" customHeight="1" s="25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</row>
    <row r="655" ht="13" customHeight="1" s="2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</row>
    <row r="656" ht="13" customHeight="1" s="25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</row>
    <row r="657" ht="13" customHeight="1" s="25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</row>
    <row r="658" ht="13" customHeight="1" s="25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</row>
    <row r="659" ht="13" customHeight="1" s="25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</row>
    <row r="660" ht="13" customHeight="1" s="25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</row>
    <row r="661" ht="13" customHeight="1" s="25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</row>
    <row r="662" ht="13" customHeight="1" s="25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</row>
    <row r="663" ht="13" customHeight="1" s="25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</row>
    <row r="664" ht="13" customHeight="1" s="25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</row>
    <row r="665" ht="13" customHeight="1" s="2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</row>
    <row r="666" ht="13" customHeight="1" s="25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</row>
    <row r="667" ht="13" customHeight="1" s="25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</row>
    <row r="668" ht="13" customHeight="1" s="25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</row>
    <row r="669" ht="13" customHeight="1" s="25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</row>
    <row r="670" ht="13" customHeight="1" s="25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</row>
    <row r="671" ht="13" customHeight="1" s="25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</row>
    <row r="672" ht="13" customHeight="1" s="25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</row>
    <row r="673" ht="13" customHeight="1" s="25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</row>
    <row r="674" ht="13" customHeight="1" s="25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</row>
    <row r="675" ht="13" customHeight="1" s="2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</row>
    <row r="676" ht="13" customHeight="1" s="25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</row>
    <row r="677" ht="13" customHeight="1" s="25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</row>
    <row r="678" ht="13" customHeight="1" s="25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</row>
    <row r="679" ht="13" customHeight="1" s="25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</row>
    <row r="680" ht="13" customHeight="1" s="25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</row>
    <row r="681" ht="13" customHeight="1" s="25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</row>
    <row r="682" ht="13" customHeight="1" s="25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</row>
    <row r="683" ht="13" customHeight="1" s="25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</row>
    <row r="684" ht="13" customHeight="1" s="25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</row>
    <row r="685" ht="13" customHeight="1" s="2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</row>
    <row r="686" ht="13" customHeight="1" s="25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</row>
    <row r="687" ht="13" customHeight="1" s="25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</row>
    <row r="688" ht="13" customHeight="1" s="25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</row>
    <row r="689" ht="13" customHeight="1" s="25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</row>
    <row r="690" ht="13" customHeight="1" s="25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</row>
    <row r="691" ht="13" customHeight="1" s="25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</row>
    <row r="692" ht="13" customHeight="1" s="25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</row>
    <row r="693" ht="13" customHeight="1" s="25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</row>
    <row r="694" ht="13" customHeight="1" s="25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</row>
    <row r="695" ht="13" customHeight="1" s="2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</row>
    <row r="696" ht="13" customHeight="1" s="25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</row>
    <row r="697" ht="13" customHeight="1" s="25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</row>
    <row r="698" ht="13" customHeight="1" s="25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</row>
    <row r="699" ht="13" customHeight="1" s="25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</row>
    <row r="700" ht="13" customHeight="1" s="25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</row>
    <row r="701" ht="13" customHeight="1" s="25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</row>
    <row r="702" ht="13" customHeight="1" s="25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</row>
    <row r="703" ht="13" customHeight="1" s="25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</row>
    <row r="704" ht="13" customHeight="1" s="25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</row>
    <row r="705" ht="13" customHeight="1" s="2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</row>
    <row r="706" ht="13" customHeight="1" s="25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</row>
    <row r="707" ht="13" customHeight="1" s="25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</row>
    <row r="708" ht="13" customHeight="1" s="25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</row>
    <row r="709" ht="13" customHeight="1" s="25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</row>
    <row r="710" ht="13" customHeight="1" s="25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</row>
    <row r="711" ht="13" customHeight="1" s="25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</row>
    <row r="712" ht="13" customHeight="1" s="25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</row>
    <row r="713" ht="13" customHeight="1" s="25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</row>
    <row r="714" ht="13" customHeight="1" s="25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</row>
    <row r="715" ht="13" customHeight="1" s="2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</row>
    <row r="716" ht="13" customHeight="1" s="25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</row>
    <row r="717" ht="13" customHeight="1" s="25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</row>
    <row r="718" ht="13" customHeight="1" s="25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</row>
    <row r="719" ht="13" customHeight="1" s="25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</row>
    <row r="720" ht="13" customHeight="1" s="25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</row>
    <row r="721" ht="13" customHeight="1" s="25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</row>
    <row r="722" ht="13" customHeight="1" s="25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</row>
    <row r="723" ht="13" customHeight="1" s="25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</row>
    <row r="724" ht="13" customHeight="1" s="25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</row>
    <row r="725" ht="13" customHeight="1" s="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</row>
    <row r="726" ht="13" customHeight="1" s="25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</row>
    <row r="727" ht="13" customHeight="1" s="25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</row>
    <row r="728" ht="13" customHeight="1" s="25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</row>
    <row r="729" ht="13" customHeight="1" s="25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</row>
    <row r="730" ht="13" customHeight="1" s="25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</row>
    <row r="731" ht="13" customHeight="1" s="25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</row>
    <row r="732" ht="13" customHeight="1" s="25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</row>
    <row r="733" ht="13" customHeight="1" s="25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</row>
    <row r="734" ht="13" customHeight="1" s="25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</row>
    <row r="735" ht="13" customHeight="1" s="2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</row>
    <row r="736" ht="13" customHeight="1" s="25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</row>
    <row r="737" ht="13" customHeight="1" s="25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</row>
    <row r="738" ht="13" customHeight="1" s="25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</row>
    <row r="739" ht="13" customHeight="1" s="25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</row>
    <row r="740" ht="13" customHeight="1" s="25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</row>
    <row r="741" ht="13" customHeight="1" s="25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</row>
    <row r="742" ht="13" customHeight="1" s="25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</row>
    <row r="743" ht="13" customHeight="1" s="25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</row>
    <row r="744" ht="13" customHeight="1" s="25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</row>
    <row r="745" ht="13" customHeight="1" s="2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</row>
    <row r="746" ht="13" customHeight="1" s="25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</row>
    <row r="747" ht="13" customHeight="1" s="25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</row>
    <row r="748" ht="13" customHeight="1" s="25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</row>
    <row r="749" ht="13" customHeight="1" s="25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</row>
    <row r="750" ht="13" customHeight="1" s="25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</row>
    <row r="751" ht="13" customHeight="1" s="25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</row>
    <row r="752" ht="13" customHeight="1" s="25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</row>
    <row r="753" ht="13" customHeight="1" s="25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</row>
    <row r="754" ht="13" customHeight="1" s="25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</row>
    <row r="755" ht="13" customHeight="1" s="2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</row>
    <row r="756" ht="13" customHeight="1" s="25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</row>
    <row r="757" ht="13" customHeight="1" s="25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</row>
    <row r="758" ht="13" customHeight="1" s="25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</row>
    <row r="759" ht="13" customHeight="1" s="25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</row>
    <row r="760" ht="13" customHeight="1" s="25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</row>
    <row r="761" ht="13" customHeight="1" s="25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</row>
    <row r="762" ht="13" customHeight="1" s="25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</row>
    <row r="763" ht="13" customHeight="1" s="25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</row>
    <row r="764" ht="13" customHeight="1" s="25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</row>
    <row r="765" ht="13" customHeight="1" s="2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</row>
    <row r="766" ht="13" customHeight="1" s="25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</row>
    <row r="767" ht="13" customHeight="1" s="25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</row>
    <row r="768" ht="13" customHeight="1" s="25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</row>
    <row r="769" ht="13" customHeight="1" s="25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</row>
    <row r="770" ht="13" customHeight="1" s="25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</row>
    <row r="771" ht="13" customHeight="1" s="25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</row>
    <row r="772" ht="13" customHeight="1" s="25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</row>
    <row r="773" ht="13" customHeight="1" s="25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</row>
    <row r="774" ht="13" customHeight="1" s="25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</row>
    <row r="775" ht="13" customHeight="1" s="2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</row>
    <row r="776" ht="13" customHeight="1" s="25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</row>
    <row r="777" ht="13" customHeight="1" s="25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</row>
    <row r="778" ht="13" customHeight="1" s="25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</row>
    <row r="779" ht="13" customHeight="1" s="25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</row>
    <row r="780" ht="13" customHeight="1" s="25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</row>
    <row r="781" ht="13" customHeight="1" s="25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</row>
    <row r="782" ht="13" customHeight="1" s="25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</row>
    <row r="783" ht="13" customHeight="1" s="25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</row>
    <row r="784" ht="13" customHeight="1" s="25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</row>
    <row r="785" ht="13" customHeight="1" s="2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</row>
    <row r="786" ht="13" customHeight="1" s="25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</row>
    <row r="787" ht="13" customHeight="1" s="25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</row>
    <row r="788" ht="13" customHeight="1" s="25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</row>
    <row r="789" ht="13" customHeight="1" s="25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</row>
    <row r="790" ht="13" customHeight="1" s="25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</row>
    <row r="791" ht="13" customHeight="1" s="25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</row>
    <row r="792" ht="13" customHeight="1" s="25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</row>
    <row r="793" ht="13" customHeight="1" s="25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</row>
    <row r="794" ht="13" customHeight="1" s="25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</row>
    <row r="795" ht="13" customHeight="1" s="2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</row>
    <row r="796" ht="13" customHeight="1" s="25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</row>
    <row r="797" ht="13" customHeight="1" s="25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</row>
    <row r="798" ht="13" customHeight="1" s="25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</row>
    <row r="799" ht="13" customHeight="1" s="25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</row>
    <row r="800" ht="13" customHeight="1" s="25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</row>
    <row r="801" ht="13" customHeight="1" s="25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</row>
    <row r="802" ht="13" customHeight="1" s="25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</row>
    <row r="803" ht="13" customHeight="1" s="25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</row>
    <row r="804" ht="13" customHeight="1" s="25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</row>
    <row r="805" ht="13" customHeight="1" s="2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</row>
    <row r="806" ht="13" customHeight="1" s="25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</row>
    <row r="807" ht="13" customHeight="1" s="25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</row>
    <row r="808" ht="13" customHeight="1" s="25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</row>
    <row r="809" ht="13" customHeight="1" s="25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</row>
    <row r="810" ht="13" customHeight="1" s="25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</row>
    <row r="811" ht="13" customHeight="1" s="25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</row>
    <row r="812" ht="13" customHeight="1" s="25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</row>
    <row r="813" ht="13" customHeight="1" s="25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</row>
    <row r="814" ht="13" customHeight="1" s="25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</row>
    <row r="815" ht="13" customHeight="1" s="2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</row>
    <row r="816" ht="13" customHeight="1" s="25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</row>
    <row r="817" ht="13" customHeight="1" s="25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</row>
    <row r="818" ht="13" customHeight="1" s="25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</row>
    <row r="819" ht="13" customHeight="1" s="25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</row>
    <row r="820" ht="13" customHeight="1" s="25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</row>
    <row r="821" ht="13" customHeight="1" s="25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</row>
    <row r="822" ht="13" customHeight="1" s="25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</row>
    <row r="823" ht="13" customHeight="1" s="25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</row>
    <row r="824" ht="13" customHeight="1" s="25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</row>
    <row r="825" ht="13" customHeight="1" s="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</row>
    <row r="826" ht="13" customHeight="1" s="25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</row>
    <row r="827" ht="13" customHeight="1" s="25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</row>
    <row r="828" ht="13" customHeight="1" s="25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</row>
    <row r="829" ht="13" customHeight="1" s="25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</row>
    <row r="830" ht="13" customHeight="1" s="25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</row>
    <row r="831" ht="13" customHeight="1" s="25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</row>
    <row r="832" ht="13" customHeight="1" s="25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</row>
    <row r="833" ht="13" customHeight="1" s="25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</row>
    <row r="834" ht="13" customHeight="1" s="25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</row>
    <row r="835" ht="13" customHeight="1" s="2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</row>
    <row r="836" ht="13" customHeight="1" s="25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</row>
    <row r="837" ht="13" customHeight="1" s="25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</row>
    <row r="838" ht="13" customHeight="1" s="25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</row>
    <row r="839" ht="13" customHeight="1" s="25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</row>
    <row r="840" ht="13" customHeight="1" s="25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</row>
    <row r="841" ht="13" customHeight="1" s="25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</row>
    <row r="842" ht="13" customHeight="1" s="25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</row>
    <row r="843" ht="13" customHeight="1" s="25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</row>
    <row r="844" ht="13" customHeight="1" s="25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</row>
    <row r="845" ht="13" customHeight="1" s="2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</row>
    <row r="846" ht="13" customHeight="1" s="25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</row>
    <row r="847" ht="13" customHeight="1" s="25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</row>
    <row r="848" ht="13" customHeight="1" s="25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</row>
    <row r="849" ht="13" customHeight="1" s="25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</row>
    <row r="850" ht="13" customHeight="1" s="25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</row>
    <row r="851" ht="13" customHeight="1" s="25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</row>
    <row r="852" ht="13" customHeight="1" s="25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</row>
    <row r="853" ht="13" customHeight="1" s="25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</row>
    <row r="854" ht="13" customHeight="1" s="25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</row>
    <row r="855" ht="13" customHeight="1" s="2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</row>
    <row r="856" ht="13" customHeight="1" s="25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</row>
    <row r="857" ht="13" customHeight="1" s="25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</row>
    <row r="858" ht="13" customHeight="1" s="25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</row>
    <row r="859" ht="13" customHeight="1" s="25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</row>
    <row r="860" ht="13" customHeight="1" s="25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</row>
    <row r="861" ht="13" customHeight="1" s="25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</row>
    <row r="862" ht="13" customHeight="1" s="25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</row>
    <row r="863" ht="13" customHeight="1" s="25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</row>
    <row r="864" ht="13" customHeight="1" s="25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</row>
    <row r="865" ht="13" customHeight="1" s="2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</row>
    <row r="866" ht="13" customHeight="1" s="25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</row>
    <row r="867" ht="13" customHeight="1" s="25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</row>
    <row r="868" ht="13" customHeight="1" s="25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</row>
    <row r="869" ht="13" customHeight="1" s="25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</row>
    <row r="870" ht="13" customHeight="1" s="25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</row>
    <row r="871" ht="13" customHeight="1" s="25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</row>
    <row r="872" ht="13" customHeight="1" s="25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</row>
    <row r="873" ht="13" customHeight="1" s="25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</row>
    <row r="874" ht="13" customHeight="1" s="25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</row>
    <row r="875" ht="13" customHeight="1" s="2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</row>
    <row r="876" ht="13" customHeight="1" s="25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</row>
    <row r="877" ht="13" customHeight="1" s="25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</row>
    <row r="878" ht="13" customHeight="1" s="25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</row>
    <row r="879" ht="13" customHeight="1" s="25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</row>
    <row r="880" ht="13" customHeight="1" s="25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</row>
    <row r="881" ht="13" customHeight="1" s="25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</row>
    <row r="882" ht="13" customHeight="1" s="25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</row>
    <row r="883" ht="13" customHeight="1" s="25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</row>
    <row r="884" ht="13" customHeight="1" s="25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</row>
    <row r="885" ht="13" customHeight="1" s="2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</row>
    <row r="886" ht="13" customHeight="1" s="25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</row>
    <row r="887" ht="13" customHeight="1" s="25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</row>
    <row r="888" ht="13" customHeight="1" s="25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</row>
    <row r="889" ht="13" customHeight="1" s="25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</row>
    <row r="890" ht="13" customHeight="1" s="25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</row>
    <row r="891" ht="13" customHeight="1" s="25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</row>
    <row r="892" ht="13" customHeight="1" s="25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</row>
    <row r="893" ht="13" customHeight="1" s="25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</row>
    <row r="894" ht="13" customHeight="1" s="25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</row>
    <row r="895" ht="13" customHeight="1" s="2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</row>
    <row r="896" ht="13" customHeight="1" s="25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</row>
    <row r="897" ht="13" customHeight="1" s="25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</row>
    <row r="898" ht="13" customHeight="1" s="25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</row>
    <row r="899" ht="13" customHeight="1" s="25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</row>
    <row r="900" ht="13" customHeight="1" s="25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</row>
    <row r="901" ht="13" customHeight="1" s="25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</row>
    <row r="902" ht="13" customHeight="1" s="25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</row>
    <row r="903" ht="13" customHeight="1" s="25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</row>
    <row r="904" ht="13" customHeight="1" s="25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</row>
    <row r="905" ht="13" customHeight="1" s="2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</row>
    <row r="906" ht="13" customHeight="1" s="25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</row>
    <row r="907" ht="13" customHeight="1" s="25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</row>
    <row r="908" ht="13" customHeight="1" s="25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</row>
    <row r="909" ht="13" customHeight="1" s="25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</row>
    <row r="910" ht="13" customHeight="1" s="25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</row>
    <row r="911" ht="13" customHeight="1" s="25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</row>
    <row r="912" ht="13" customHeight="1" s="25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</row>
    <row r="913" ht="13" customHeight="1" s="25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</row>
    <row r="914" ht="13" customHeight="1" s="25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</row>
    <row r="915" ht="13" customHeight="1" s="2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</row>
    <row r="916" ht="13" customHeight="1" s="25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</row>
    <row r="917" ht="13" customHeight="1" s="25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</row>
    <row r="918" ht="13" customHeight="1" s="25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</row>
    <row r="919" ht="13" customHeight="1" s="25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</row>
    <row r="920" ht="13" customHeight="1" s="25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</row>
    <row r="921" ht="13" customHeight="1" s="25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</row>
    <row r="922" ht="13" customHeight="1" s="25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</row>
    <row r="923" ht="13" customHeight="1" s="25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</row>
    <row r="924" ht="13" customHeight="1" s="25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</row>
    <row r="925" ht="13" customHeight="1" s="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</row>
    <row r="926" ht="13" customHeight="1" s="25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</row>
    <row r="927" ht="13" customHeight="1" s="25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</row>
    <row r="928" ht="13" customHeight="1" s="25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</row>
    <row r="929" ht="13" customHeight="1" s="25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</row>
    <row r="930" ht="13" customHeight="1" s="25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</row>
    <row r="931" ht="13" customHeight="1" s="25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</row>
    <row r="932" ht="13" customHeight="1" s="25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</row>
    <row r="933" ht="13" customHeight="1" s="25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</row>
    <row r="934" ht="13" customHeight="1" s="25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</row>
    <row r="935" ht="13" customHeight="1" s="2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</row>
    <row r="936" ht="13" customHeight="1" s="25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</row>
    <row r="937" ht="13" customHeight="1" s="25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</row>
    <row r="938" ht="13" customHeight="1" s="25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</row>
    <row r="939" ht="13" customHeight="1" s="25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</row>
    <row r="940" ht="13" customHeight="1" s="25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</row>
    <row r="941" ht="13" customHeight="1" s="25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</row>
    <row r="942" ht="13" customHeight="1" s="25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</row>
    <row r="943" ht="13" customHeight="1" s="25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</row>
    <row r="944" ht="13" customHeight="1" s="25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</row>
    <row r="945" ht="13" customHeight="1" s="2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</row>
    <row r="946" ht="13" customHeight="1" s="25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</row>
    <row r="947" ht="13" customHeight="1" s="25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</row>
    <row r="948" ht="13" customHeight="1" s="25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</row>
    <row r="949" ht="13" customHeight="1" s="25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</row>
    <row r="950" ht="13" customHeight="1" s="25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</row>
    <row r="951" ht="13" customHeight="1" s="25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</row>
    <row r="952" ht="13" customHeight="1" s="25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</row>
    <row r="953" ht="13" customHeight="1" s="25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</row>
    <row r="954" ht="13" customHeight="1" s="25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</row>
    <row r="955" ht="13" customHeight="1" s="2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</row>
    <row r="956" ht="13" customHeight="1" s="25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</row>
    <row r="957" ht="13" customHeight="1" s="25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</row>
    <row r="958" ht="13" customHeight="1" s="25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</row>
    <row r="959" ht="13" customHeight="1" s="25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</row>
    <row r="960" ht="13" customHeight="1" s="25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</row>
    <row r="961" ht="13" customHeight="1" s="25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</row>
    <row r="962" ht="13" customHeight="1" s="25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</row>
    <row r="963" ht="13" customHeight="1" s="25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</row>
    <row r="964" ht="13" customHeight="1" s="25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</row>
    <row r="965" ht="13" customHeight="1" s="2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</row>
    <row r="966" ht="13" customHeight="1" s="25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</row>
    <row r="967" ht="13" customHeight="1" s="25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</row>
    <row r="968" ht="13" customHeight="1" s="25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</row>
    <row r="969" ht="13" customHeight="1" s="25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</row>
    <row r="970" ht="13" customHeight="1" s="25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</row>
    <row r="971" ht="13" customHeight="1" s="25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</row>
    <row r="972" ht="13" customHeight="1" s="25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</row>
    <row r="973" ht="13" customHeight="1" s="25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</row>
    <row r="974" ht="13" customHeight="1" s="25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</row>
    <row r="975" ht="13" customHeight="1" s="2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</row>
    <row r="976" ht="13" customHeight="1" s="25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</row>
    <row r="977" ht="13" customHeight="1" s="25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</row>
    <row r="978" ht="13" customHeight="1" s="25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</row>
    <row r="979" ht="13" customHeight="1" s="25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</row>
    <row r="980" ht="13" customHeight="1" s="25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</row>
    <row r="981" ht="13" customHeight="1" s="25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</row>
    <row r="982" ht="13" customHeight="1" s="25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</row>
    <row r="983" ht="13" customHeight="1" s="25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</row>
    <row r="984" ht="13" customHeight="1" s="25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</row>
    <row r="985" ht="13" customHeight="1" s="2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</row>
    <row r="986" ht="13" customHeight="1" s="25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</row>
    <row r="987" ht="13" customHeight="1" s="25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</row>
    <row r="988" ht="13" customHeight="1" s="25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</row>
    <row r="989" ht="13" customHeight="1" s="25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</row>
    <row r="990" ht="13" customHeight="1" s="25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</row>
    <row r="991" ht="13" customHeight="1" s="25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</row>
    <row r="992" ht="13" customHeight="1" s="25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</row>
    <row r="993" ht="13" customHeight="1" s="25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</row>
  </sheetData>
  <mergeCells count="29">
    <mergeCell ref="B9:H9"/>
    <mergeCell ref="B65:H65"/>
    <mergeCell ref="W10:AA10"/>
    <mergeCell ref="B30:H30"/>
    <mergeCell ref="P10:T10"/>
    <mergeCell ref="W15:AA15"/>
    <mergeCell ref="B51:H51"/>
    <mergeCell ref="P9:T9"/>
    <mergeCell ref="P11:T11"/>
    <mergeCell ref="P8:T8"/>
    <mergeCell ref="B16:H16"/>
    <mergeCell ref="B58:H58"/>
    <mergeCell ref="W16:AA16"/>
    <mergeCell ref="W12:AA12"/>
    <mergeCell ref="P16:T16"/>
    <mergeCell ref="B70:H70"/>
    <mergeCell ref="B2:H2"/>
    <mergeCell ref="P13:T13"/>
    <mergeCell ref="B23:H23"/>
    <mergeCell ref="W9:AA9"/>
    <mergeCell ref="P12:T12"/>
    <mergeCell ref="W11:AA11"/>
    <mergeCell ref="W8:AA8"/>
    <mergeCell ref="B44:H44"/>
    <mergeCell ref="P15:T15"/>
    <mergeCell ref="W14:AA14"/>
    <mergeCell ref="P14:T14"/>
    <mergeCell ref="B37:H37"/>
    <mergeCell ref="W13:AA13"/>
  </mergeCells>
  <pageMargins left="0.7" right="0.7" top="0.75" bottom="0.75" header="0.3" footer="0.3"/>
  <pageSetup orientation="portrait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2026-05-29T21:58:34Z</dcterms:created>
  <dcterms:modified xsi:type="dcterms:W3CDTF">2026-06-24T19:36:43Z</dcterms:modified>
  <cp:lastModifiedBy>Antonio Avendaño Sanhueza (Alumno)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hortcut_file_id" fmtid="{D5CDD505-2E9C-101B-9397-08002B2CF9AE}" pid="2">
    <vt:lpwstr>e4d4c4fc-d3b4-4010-892e-63b95a4bced8</vt:lpwstr>
  </property>
</Properties>
</file>